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AI20K\LABT4-1\K4-Track4-Day1-Neuralnetwork\submission_2A202602590\"/>
    </mc:Choice>
  </mc:AlternateContent>
  <xr:revisionPtr revIDLastSave="0" documentId="11_F03D1B9EB66F5B9A670DE597004F12124A205C5D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F11" i="4" s="1"/>
  <c r="B11" i="4"/>
  <c r="C10" i="4"/>
  <c r="F10" i="4" s="1"/>
  <c r="B10" i="4"/>
  <c r="C9" i="4"/>
  <c r="E9" i="4" s="1"/>
  <c r="B9" i="4"/>
  <c r="G8" i="4"/>
  <c r="C8" i="4"/>
  <c r="F8" i="4" s="1"/>
  <c r="B8" i="4"/>
  <c r="C7" i="4"/>
  <c r="E7" i="4" s="1"/>
  <c r="B7" i="4"/>
  <c r="G6" i="4"/>
  <c r="C6" i="4"/>
  <c r="F6" i="4" s="1"/>
  <c r="B6" i="4"/>
  <c r="C5" i="4"/>
  <c r="E5" i="4" s="1"/>
  <c r="B5" i="4"/>
  <c r="G4" i="4"/>
  <c r="C4" i="4"/>
  <c r="F4" i="4" s="1"/>
  <c r="B4" i="4"/>
  <c r="C3" i="4"/>
  <c r="E3" i="4" s="1"/>
  <c r="B3" i="4"/>
  <c r="F2" i="4"/>
  <c r="C2" i="4"/>
  <c r="E2" i="4" s="1"/>
  <c r="B2" i="4"/>
  <c r="D6" i="3"/>
  <c r="C6" i="3"/>
  <c r="B6" i="3"/>
  <c r="D5" i="3"/>
  <c r="C5" i="3"/>
  <c r="B5" i="3"/>
  <c r="D4" i="3"/>
  <c r="C4" i="3"/>
  <c r="B4" i="3"/>
  <c r="D3" i="3"/>
  <c r="C3" i="3"/>
  <c r="B3" i="3"/>
  <c r="D2" i="3"/>
  <c r="D9" i="3" s="1"/>
  <c r="D10" i="3" s="1"/>
  <c r="C2" i="3"/>
  <c r="C9" i="3" s="1"/>
  <c r="C10" i="3" s="1"/>
  <c r="B2" i="3"/>
  <c r="B9" i="3" s="1"/>
  <c r="B10" i="3" s="1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F3" i="4" l="1"/>
  <c r="F5" i="4"/>
  <c r="F7" i="4"/>
  <c r="F9" i="4"/>
  <c r="G3" i="4"/>
  <c r="D13" i="4" s="1"/>
  <c r="G5" i="4"/>
  <c r="G7" i="4"/>
  <c r="G9" i="4"/>
  <c r="D4" i="4"/>
  <c r="D6" i="4"/>
  <c r="D8" i="4"/>
  <c r="D10" i="4"/>
  <c r="D2" i="4"/>
  <c r="E4" i="4"/>
  <c r="E6" i="4"/>
  <c r="E8" i="4"/>
  <c r="E10" i="4"/>
  <c r="B8" i="3"/>
  <c r="C8" i="3"/>
  <c r="D8" i="3"/>
  <c r="D11" i="4"/>
  <c r="D3" i="4"/>
  <c r="D5" i="4"/>
  <c r="D7" i="4"/>
  <c r="D9" i="4"/>
  <c r="E11" i="4"/>
  <c r="AF56" i="2" l="1"/>
  <c r="AG56" i="2" s="1"/>
  <c r="AF53" i="2"/>
  <c r="AG53" i="2" s="1"/>
  <c r="AF50" i="2"/>
  <c r="AG50" i="2" s="1"/>
  <c r="AF47" i="2"/>
  <c r="AG47" i="2" s="1"/>
  <c r="AF41" i="2"/>
  <c r="AG41" i="2" s="1"/>
  <c r="AF35" i="2"/>
  <c r="AG35" i="2" s="1"/>
  <c r="AF29" i="2"/>
  <c r="AG29" i="2" s="1"/>
  <c r="AF23" i="2"/>
  <c r="AG23" i="2" s="1"/>
  <c r="AF17" i="2"/>
  <c r="AG17" i="2" s="1"/>
  <c r="AF8" i="2"/>
  <c r="AG8" i="2" s="1"/>
  <c r="AF2" i="2"/>
  <c r="AG2" i="2" s="1"/>
  <c r="AF60" i="2"/>
  <c r="AG60" i="2" s="1"/>
  <c r="AF57" i="2"/>
  <c r="AG57" i="2" s="1"/>
  <c r="AF54" i="2"/>
  <c r="AG54" i="2" s="1"/>
  <c r="AF51" i="2"/>
  <c r="AG51" i="2" s="1"/>
  <c r="AF48" i="2"/>
  <c r="AG48" i="2" s="1"/>
  <c r="AF45" i="2"/>
  <c r="AG45" i="2" s="1"/>
  <c r="AF42" i="2"/>
  <c r="AG42" i="2" s="1"/>
  <c r="AF39" i="2"/>
  <c r="AG39" i="2" s="1"/>
  <c r="AF36" i="2"/>
  <c r="AG36" i="2" s="1"/>
  <c r="AF33" i="2"/>
  <c r="AG33" i="2" s="1"/>
  <c r="AF30" i="2"/>
  <c r="AG30" i="2" s="1"/>
  <c r="AF27" i="2"/>
  <c r="AG27" i="2" s="1"/>
  <c r="AF24" i="2"/>
  <c r="AG24" i="2" s="1"/>
  <c r="AF21" i="2"/>
  <c r="AG21" i="2" s="1"/>
  <c r="AF18" i="2"/>
  <c r="AG18" i="2" s="1"/>
  <c r="AF15" i="2"/>
  <c r="AG15" i="2" s="1"/>
  <c r="AF12" i="2"/>
  <c r="AG12" i="2" s="1"/>
  <c r="AF9" i="2"/>
  <c r="AG9" i="2" s="1"/>
  <c r="AF6" i="2"/>
  <c r="AG6" i="2" s="1"/>
  <c r="AF3" i="2"/>
  <c r="AG3" i="2" s="1"/>
  <c r="AF59" i="2"/>
  <c r="AG59" i="2" s="1"/>
  <c r="AF44" i="2"/>
  <c r="AG44" i="2" s="1"/>
  <c r="AF38" i="2"/>
  <c r="AG38" i="2" s="1"/>
  <c r="AF32" i="2"/>
  <c r="AG32" i="2" s="1"/>
  <c r="AF26" i="2"/>
  <c r="AG26" i="2" s="1"/>
  <c r="AF20" i="2"/>
  <c r="AG20" i="2" s="1"/>
  <c r="AF14" i="2"/>
  <c r="AG14" i="2" s="1"/>
  <c r="AF11" i="2"/>
  <c r="AG11" i="2" s="1"/>
  <c r="AF5" i="2"/>
  <c r="AG5" i="2" s="1"/>
  <c r="AF61" i="2"/>
  <c r="AG61" i="2" s="1"/>
  <c r="AF58" i="2"/>
  <c r="AG58" i="2" s="1"/>
  <c r="AF55" i="2"/>
  <c r="AG55" i="2" s="1"/>
  <c r="AF52" i="2"/>
  <c r="AG52" i="2" s="1"/>
  <c r="AF49" i="2"/>
  <c r="AG49" i="2" s="1"/>
  <c r="AF46" i="2"/>
  <c r="AG46" i="2" s="1"/>
  <c r="AF43" i="2"/>
  <c r="AG43" i="2" s="1"/>
  <c r="AF40" i="2"/>
  <c r="AG40" i="2" s="1"/>
  <c r="AF37" i="2"/>
  <c r="AG37" i="2" s="1"/>
  <c r="AF34" i="2"/>
  <c r="AG34" i="2" s="1"/>
  <c r="AF31" i="2"/>
  <c r="AG31" i="2" s="1"/>
  <c r="AF28" i="2"/>
  <c r="AG28" i="2" s="1"/>
  <c r="AF25" i="2"/>
  <c r="AG25" i="2" s="1"/>
  <c r="AF22" i="2"/>
  <c r="AG22" i="2" s="1"/>
  <c r="AF19" i="2"/>
  <c r="AG19" i="2" s="1"/>
  <c r="AF16" i="2"/>
  <c r="AG16" i="2" s="1"/>
  <c r="AF13" i="2"/>
  <c r="AG13" i="2" s="1"/>
  <c r="AF10" i="2"/>
  <c r="AG10" i="2" s="1"/>
  <c r="AF7" i="2"/>
  <c r="AG7" i="2" s="1"/>
  <c r="AF4" i="2"/>
  <c r="AG4" i="2" s="1"/>
</calcChain>
</file>

<file path=xl/sharedStrings.xml><?xml version="1.0" encoding="utf-8"?>
<sst xmlns="http://schemas.openxmlformats.org/spreadsheetml/2006/main" count="675" uniqueCount="316">
  <si>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</si>
  <si>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</si>
  <si>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</si>
  <si>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/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</si>
  <si>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</si>
  <si>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</si>
  <si>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</si>
  <si>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</si>
  <si>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</si>
  <si>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</si>
  <si>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</si>
  <si>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</si>
  <si>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</si>
  <si>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</si>
  <si>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</si>
  <si>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</si>
  <si>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</si>
  <si>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</si>
  <si>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</si>
  <si>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</si>
  <si>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</si>
  <si>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</si>
  <si>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</si>
  <si>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</si>
  <si>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</si>
  <si>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</si>
  <si>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</si>
  <si>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</si>
  <si>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</si>
  <si>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</si>
  <si>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</si>
  <si>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</si>
  <si>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</si>
  <si>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</si>
  <si>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</si>
  <si>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</si>
  <si>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</si>
  <si>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</si>
  <si>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</si>
  <si>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</si>
  <si>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</si>
  <si>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</si>
  <si>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</si>
  <si>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</si>
  <si>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</si>
  <si>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</si>
  <si>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</si>
  <si>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</si>
  <si>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</si>
  <si>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</si>
  <si>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</si>
  <si>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</si>
  <si>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</si>
  <si>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</si>
  <si>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</si>
  <si>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</si>
  <si>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</si>
  <si>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</si>
  <si>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</si>
  <si>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</si>
  <si>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</si>
  <si>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</si>
  <si>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</si>
  <si>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</si>
  <si>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</si>
  <si>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</si>
  <si>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</si>
  <si>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</si>
  <si>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</si>
  <si>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</si>
  <si>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</si>
  <si>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</si>
  <si>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</si>
  <si>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</si>
  <si>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</si>
  <si>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</si>
  <si>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</si>
  <si>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</si>
  <si>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</si>
  <si>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</si>
  <si>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</si>
  <si>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</si>
  <si>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</si>
  <si>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</si>
  <si>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</si>
  <si>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</si>
  <si>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</si>
  <si>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</si>
  <si>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</si>
  <si>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</si>
  <si>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</si>
  <si>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</si>
  <si>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</si>
  <si>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</si>
  <si>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</si>
  <si>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</si>
  <si>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</si>
  <si>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</si>
  <si>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</si>
  <si>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</si>
  <si>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</si>
  <si>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</si>
  <si>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</si>
  <si>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</si>
  <si>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</si>
  <si>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</si>
  <si>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</si>
  <si>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</si>
  <si>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</si>
  <si>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</si>
  <si>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</si>
  <si>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</si>
  <si>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</si>
  <si>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base-s1</t>
  </si>
  <si>
    <t>baseline</t>
  </si>
  <si>
    <t>Baseline M-base (SGD+mom, He, 20 ep)</t>
  </si>
  <si>
    <t>CE</t>
  </si>
  <si>
    <t>SGD+momentum</t>
  </si>
  <si>
    <t>256-128</t>
  </si>
  <si>
    <t>none</t>
  </si>
  <si>
    <t>fp32</t>
  </si>
  <si>
    <t>he</t>
  </si>
  <si>
    <t>figures/base-s1.png</t>
  </si>
  <si>
    <t>base-s2</t>
  </si>
  <si>
    <t>Baseline M-base, lr = 0.1, seed 2</t>
  </si>
  <si>
    <t>figures/base-s2.png</t>
  </si>
  <si>
    <t>base-s3</t>
  </si>
  <si>
    <t>Baseline M-base, lr = 0.1, seed 3</t>
  </si>
  <si>
    <t>figures/base-s3.png</t>
  </si>
  <si>
    <t>loss-mse</t>
  </si>
  <si>
    <t>MSE trên nhãn one-hot (thay CE)</t>
  </si>
  <si>
    <t>MSE</t>
  </si>
  <si>
    <t>figures/loss-mse.png</t>
  </si>
  <si>
    <t>opt-adam-lr0.0003</t>
  </si>
  <si>
    <t>adam (wd=0), lr = 0.0003</t>
  </si>
  <si>
    <t>figures/opt-adam-lr0.0003.png</t>
  </si>
  <si>
    <t>opt-adam-lr0.001</t>
  </si>
  <si>
    <t>adam (wd=0), lr = 0.001</t>
  </si>
  <si>
    <t>figures/opt-adam-lr0.001.png</t>
  </si>
  <si>
    <t>opt-adam-lr0.003</t>
  </si>
  <si>
    <t>adam (wd=0), lr = 0.003</t>
  </si>
  <si>
    <t>figures/opt-adam-lr0.003.png</t>
  </si>
  <si>
    <t>opt-adamw-lr0.0003</t>
  </si>
  <si>
    <t>adamw (wd=0.01), lr = 0.0003</t>
  </si>
  <si>
    <t>AdamW</t>
  </si>
  <si>
    <t>figures/opt-adamw-lr0.0003.png</t>
  </si>
  <si>
    <t>opt-adamw-lr0.001</t>
  </si>
  <si>
    <t>adamw (wd=0.01), lr = 0.001</t>
  </si>
  <si>
    <t>figures/opt-adamw-lr0.001.png</t>
  </si>
  <si>
    <t>opt-adamw-lr0.003</t>
  </si>
  <si>
    <t>adamw (wd=0.01), lr = 0.003</t>
  </si>
  <si>
    <t>figures/opt-adamw-lr0.003.png</t>
  </si>
  <si>
    <t>opt-adamw-wd0-lr0.001</t>
  </si>
  <si>
    <t>AdamW với weight_decay = 0 (kiểm chứng tương đương Adam)</t>
  </si>
  <si>
    <t>figures/opt-adamw-wd0-lr0.001.png</t>
  </si>
  <si>
    <t>opt-sgd-lr0.01</t>
  </si>
  <si>
    <t>sgd (wd=0), lr = 0.01</t>
  </si>
  <si>
    <t>SGD</t>
  </si>
  <si>
    <t>figures/opt-sgd-lr0.01.png</t>
  </si>
  <si>
    <t>opt-sgd-lr0.03</t>
  </si>
  <si>
    <t>sgd (wd=0), lr = 0.03</t>
  </si>
  <si>
    <t>figures/opt-sgd-lr0.03.png</t>
  </si>
  <si>
    <t>opt-sgd-lr0.1</t>
  </si>
  <si>
    <t>sgd (wd=0), lr = 0.1</t>
  </si>
  <si>
    <t>figures/opt-sgd-lr0.1.png</t>
  </si>
  <si>
    <t>opt-sgdm-lr0.01</t>
  </si>
  <si>
    <t>SGD+momentum 0.9, lr = 0.01</t>
  </si>
  <si>
    <t>figures/opt-sgdm-lr0.01.png</t>
  </si>
  <si>
    <t>opt-sgdm-lr0.03</t>
  </si>
  <si>
    <t>SGD+momentum 0.9, lr = 0.03</t>
  </si>
  <si>
    <t>figures/opt-sgdm-lr0.03.png</t>
  </si>
  <si>
    <t>opt-sgdm-lr0.1</t>
  </si>
  <si>
    <t>SGD+momentum 0.9, lr = 0.1</t>
  </si>
  <si>
    <t>figures/opt-sgdm-lr0.1.png</t>
  </si>
  <si>
    <t>arch-deep</t>
  </si>
  <si>
    <t>hparam</t>
  </si>
  <si>
    <t>M-deep 54-&gt;256-&gt;128-&gt;64-&gt;7</t>
  </si>
  <si>
    <t>256-128-64</t>
  </si>
  <si>
    <t>figures/arch-deep.png</t>
  </si>
  <si>
    <t>arch-wide</t>
  </si>
  <si>
    <t>M-wide 54-&gt;512-&gt;256-&gt;7</t>
  </si>
  <si>
    <t>512-256</t>
  </si>
  <si>
    <t>figures/arch-wide.png</t>
  </si>
  <si>
    <t>hparam-batch128</t>
  </si>
  <si>
    <t>Batch size 128 (thay 512)</t>
  </si>
  <si>
    <t>figures/hparam-batch128.png</t>
  </si>
  <si>
    <t>hparam-batch2048</t>
  </si>
  <si>
    <t>Batch size 2048 (thay 512)</t>
  </si>
  <si>
    <t>figures/hparam-batch2048.png</t>
  </si>
  <si>
    <t>hparam-cosine</t>
  </si>
  <si>
    <t>Cosine annealing theo bước</t>
  </si>
  <si>
    <t>figures/hparam-cosine.png</t>
  </si>
  <si>
    <t>hparam-epoch60</t>
  </si>
  <si>
    <t>60 epoch (thay 20) — kiểm tra mô hình đã hội tụ chưa</t>
  </si>
  <si>
    <t>figures/hparam-epoch60.png</t>
  </si>
  <si>
    <t>hparam-wd1e-4</t>
  </si>
  <si>
    <t>weight_decay 1e-4 (thay 0)</t>
  </si>
  <si>
    <t>figures/hparam-wd1e-4.png</t>
  </si>
  <si>
    <t>drop-0.1</t>
  </si>
  <si>
    <t>Dropout q = 0.1</t>
  </si>
  <si>
    <t>figures/drop-0.1.png</t>
  </si>
  <si>
    <t>drop-0.2</t>
  </si>
  <si>
    <t>Dropout q = 0.2</t>
  </si>
  <si>
    <t>figures/drop-0.2.png</t>
  </si>
  <si>
    <t>drop-0.5</t>
  </si>
  <si>
    <t>Dropout q = 0.5</t>
  </si>
  <si>
    <t>figures/drop-0.5.png</t>
  </si>
  <si>
    <t>clip-1.0</t>
  </si>
  <si>
    <t>clipping</t>
  </si>
  <si>
    <t>Gradient clipping c = 1 ở lr baseline</t>
  </si>
  <si>
    <t>figures/clip-1.0.png</t>
  </si>
  <si>
    <t>clip-hilr-clip1.0</t>
  </si>
  <si>
    <t>lr cao 1 (= 10×lr baseline), CÓ clip c = 1</t>
  </si>
  <si>
    <t>figures/clip-hilr-clip1.0.png</t>
  </si>
  <si>
    <t>clip-hilr-noclip</t>
  </si>
  <si>
    <t>lr cao 1 (= 10×lr baseline), KHÔNG clip</t>
  </si>
  <si>
    <t>figures/clip-hilr-noclip.png</t>
  </si>
  <si>
    <t>amp-bf16</t>
  </si>
  <si>
    <t>amp</t>
  </si>
  <si>
    <t>BF16 autocast (không GradScaler)</t>
  </si>
  <si>
    <t>bf16</t>
  </si>
  <si>
    <t>figures/amp-bf16.png</t>
  </si>
  <si>
    <t>amp-fp16</t>
  </si>
  <si>
    <t>FP16 autocast + GradScaler (fp32: 0 clip)</t>
  </si>
  <si>
    <t>fp16</t>
  </si>
  <si>
    <t>figures/amp-fp16.png</t>
  </si>
  <si>
    <t>init-default</t>
  </si>
  <si>
    <t>Khởi tạo default</t>
  </si>
  <si>
    <t>default</t>
  </si>
  <si>
    <t>figures/init-default.png</t>
  </si>
  <si>
    <t>init-normal</t>
  </si>
  <si>
    <t>Khởi tạo normal</t>
  </si>
  <si>
    <t>normal</t>
  </si>
  <si>
    <t>figures/init-normal.png</t>
  </si>
  <si>
    <t>init-xavier</t>
  </si>
  <si>
    <t>Khởi tạo xavier</t>
  </si>
  <si>
    <t>xavier</t>
  </si>
  <si>
    <t>figures/init-xavier.png</t>
  </si>
  <si>
    <t>init-zeros</t>
  </si>
  <si>
    <t>Khởi tạo zeros</t>
  </si>
  <si>
    <t>zeros</t>
  </si>
  <si>
    <t>figures/init-zeros.png</t>
  </si>
  <si>
    <t>final-s1</t>
  </si>
  <si>
    <t>final</t>
  </si>
  <si>
    <t>figures/final-s1.png</t>
  </si>
  <si>
    <t>final-s2</t>
  </si>
  <si>
    <t>Cấu hình cuối cùng, seed 2</t>
  </si>
  <si>
    <t>figures/final-s2.png</t>
  </si>
  <si>
    <t>final-s3</t>
  </si>
  <si>
    <t>Cấu hình cuối cùng, seed 3</t>
  </si>
  <si>
    <t>figures/final-s3.png</t>
  </si>
  <si>
    <t>exp_id baseline (nhập)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</si>
  <si>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</si>
  <si>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</si>
  <si>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</si>
  <si>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</si>
  <si>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</si>
  <si>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</si>
  <si>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</si>
  <si>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</si>
  <si>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</si>
  <si>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</si>
  <si>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</si>
  <si>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</si>
  <si>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</si>
  <si>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SGD+momentum lr=0.1, 20 ep. TB val macro-F1 = 0.8581 ± 0.0019 (2σ = 0.0038, 3 seed). Mốc đoán đa số = 0.4876. Cột step0_gap_vs_lnC = +0,32 ở phần lớn các dòng là do khởi tạo He áp cho cả lớp cuối, KHÔNG phải lỗi.</t>
  </si>
  <si>
    <t>MSE cho val macro-F1 = 0.7334 so với CE = 0.8581 (Δ = -0.1247); loss khác thang đo nên chỉ so bằng metric.</t>
  </si>
  <si>
    <t>Bộ tối ưu tốt nhất theo val: Adam lr=0.003 (0.8806). Mỗi bộ thử 3 lr; SGD nhạy lr nhất (biên độ 0.1704 so với AdamW 0.0762).</t>
  </si>
  <si>
    <t>Batch, kiến trúc, weight decay, cosine, số epoch — xem notes từng dòng. Mạnh nhất: hparam-epoch60 và arch-wide.</t>
  </si>
  <si>
    <t>q chọn cho cấu hình cuối: 0 (mọi q &gt; 0 đều làm giảm macro-F1 vượt nhiễu).</t>
  </si>
  <si>
    <t>c = 1 (chọn từ grad_norm của baseline: median 0.569, max 2.905). Thí nghiệm phản chứng ở lr = 1: không clip 0.6276 vs có clip 0.8151.</t>
  </si>
  <si>
    <t>FP16 1.36×, BF16 1.10× thời gian/epoch so với FP32 =&gt; không nhanh hơn trên mạng nhỏ; bộ nhớ gần như không đổi; chất lượng không đổi trong nhiễu.</t>
  </si>
  <si>
    <t>zeros hỏng hoàn toàn (0.0936 = đoán đa số) vì mất đối xứng + ReLU(0)=0; he giữ std kích hoạt không đổi qua tầng còn xavier/default giảm.</t>
  </si>
  <si>
    <t>Adam lr=0.003, 40 ep, dropout 0. Eval macro-F1 = 0.8934 (cải thiện +0.0370 so với baseline). Val Δ = +0.0352 vs 2σ = 0.0038.</t>
  </si>
  <si>
    <t>other</t>
  </si>
  <si>
    <t>Số chủ đề (trong 7) đã thử:</t>
  </si>
  <si>
    <t>7 chủ đề: loss, optimizer, hparam, dropout, clipping, amp, init. Một chủ đề 'đã thử' khi có ≥ 1 dòng có val_macro_f1.</t>
  </si>
  <si>
    <t>Dự đoán: macro-F1 quanh 0,85-0,87, val loss &lt; 1,0 và vượt xa mức 'đoán đa số' 0,4876. Đối chiếu: Khớp dự đoán; đường cong bình thường, chưa quá khớp. CHU Ý: cột step0_gap_vs_lnC = +0,32 ở đây và ở 30/39 dòng KHÔNG phải lỗi — khởi tạo He được áp cho cả lớp cuối nên logit std 0,58 và CE &gt; ln 7; xem REPORT.md mục 2. Kết quả: val macro-F1 0,8575, Δ −0,0006 = 0,2× 2σ (**dưới ngưỡng nhiễu**).</t>
  </si>
  <si>
    <t>Dự đoán: Trùng base-s1 trong nhiễu seed. Đối chiếu: Đúng. Đây là 1 trong 3 seed dùng để ước lượng ngưỡng nhiễu 2σ. Kết quả: val macro-F1 0,8566, Δ −0,0015 = 0,4× 2σ (**dưới ngưỡng nhiễu**).</t>
  </si>
  <si>
    <t>Dự đoán: Trùng base-s1/s2. Đối chiếu: Đúng. 3 seed cho mean 0,85810, σ 0,00192, 2σ 0,00384 — ngưỡng nhiễu dùng cho toàn bộ báo cáo. Kết quả: val macro-F1 0,8603, Δ +0,0022 = 0,6× 2σ (**dưới ngưỡng nhiễu**).</t>
  </si>
  <si>
    <t>Dự đoán: macro-F1 thấp hơn CE, vì gradient MSE bị bão hoà và khác thang đo của metric. Đối chiếu: Đúng. Cơ chế đo được: trung bình grad_norm chỉ 0,089 so với 0,569 của baseline (nhỏ 6,4×) dù cùng lr, kiến trúc và số bước — vì ∂L/∂z của MSE chứa σ'(z) ∈ (0,1). Kết quả: val macro-F1 0,7334, Δ −0,1247 = 32,5× 2σ (**vượt ngưỡng nhiễu**).</t>
  </si>
  <si>
    <t>Dự đoán: Adam ở lr nhỏ nhất: ít bước cập nhật trong 20 epoch nên kém, nhưng vẫn vượt 'đoán đa số' 0,4876. Đối chiếu: Đúng: vẫn hơn 'đoán đa số' khoảng 0,31 nhưng kém baseline. Kết quả: val macro-F1 0,7954, Δ −0,0627 = 16,3× 2σ (**vượt ngưỡng nhiễu**).</t>
  </si>
  <si>
    <t>Dự đoán: lr gấp ~3× sẽ tốt hơn lr 0,0003. Đối chiếu: Đúng, đơn điệu tăng theo lr — đúng cơ chế Adam chuẩn hoá mũ số về ~1. Kết quả: val macro-F1 0,8504, Δ −0,0077 = 2,0× 2σ (**vượt ngưỡng nhiễu**).</t>
  </si>
  <si>
    <t>Dự đoán: Adam đạt đỉnh ở lr cao nhất đã thử. Đối chiếu: Đúng và là arm tốt nhất của cả nhóm optimizer; đây là căn cứ chọn Adam 0,003 cho cấu hình cuối. Kết quả: val macro-F1 0,8806, Δ +0,0225 = 5,9× 2σ (**vượt ngưỡng nhiễu**).</t>
  </si>
  <si>
    <t>Dự đoán: Gần bằng Adam, vì wd=0,01 trên tham số không chuẩn hoá chỉ tác động nhỏ ở lr thấp. Đối chiếu: Đúng: 0,7959 so với 0,7954 của Adam — chênh nhỏ hơn nhiều lần 2σ. Kết quả: val macro-F1 0,7959, Δ −0,0622 = 16,2× 2σ (**vượt ngưỡng nhiễu**).</t>
  </si>
  <si>
    <t>Dự đoán: Tương tự Adam ở cùng lr. Đối chiếu: Đúng, nhưng thấp hơn Adam một chút (0,8472 so với 0,8504). Kết quả: val macro-F1 0,8472, Δ −0,0109 = 2,9× 2σ (**vượt ngưỡng nhiễu**).</t>
  </si>
  <si>
    <t>Dự đoán: AdamW ở lr cao nhất; kỳ vọng hơi thấp hơn Adam do wd=0,01. Đối chiếu: Đúng: wd=0,01 làm giảm 0,0084 so với wd=0 — với mô hình chưa quá khớp, co hồi trọng số chỉ làm giảm năng lực khớp. Kết quả: val macro-F1 0,8721, Δ +0,0140 = 3,7× 2σ (**vượt ngưỡng nhiễu**).</t>
  </si>
  <si>
    <t>Dự đoán: wd=0 thì AdamW ≡ Adam, phải khớp TUYỆT ĐỐI. Đối chiếu: Đúng — val macro-F1 và best_val_loss khớp từng chữ số với opt-adam-lr0.001. Đây là phép kiểm tra đường code AdamW. Kết quả: val macro-F1 0,8504, Δ −0,0077 = 2,0× 2σ (**vượt ngưỡng nhiễu**).</t>
  </si>
  <si>
    <t>Dự đoán: SGD cần lr lớn hơn nhiều; 0,01 quá nhỏ nên kém nhất. Đối chiếu: Đúng, thấp nhất nhóm; chỉ hơn 'đoán đa số' 0,4876 khoảng 0,11. Kết quả: val macro-F1 0,5938, Δ −0,2643 = 68,8× 2σ (**vượt ngưỡng nhiễu**).</t>
  </si>
  <si>
    <t>Dự đoán: Tốt hơn lr 0,01 vì bước cập nhật lớn hơn. Đối chiếu: Đúng, đơn điệu tăng theo lr. Kết quả: val macro-F1 0,6794, Δ −0,1787 = 46,5× 2σ (**vượt ngưỡng nhiễu**).</t>
  </si>
  <si>
    <t>Dự đoán: Ngang baseline — dùng để tách riêng vai trò của momentum. Đối chiếu: SAI so với kỳ vọng, nhưng đây là phát hiện quan trọng: SGD thuần ở lr 0,1 chỉ 0,7642. ⇒ baseline KHÔNG phải SGD thuần; momentum mới là yếu tố quyết định (đối chiếu opt-sgdm-lr0.1). Kết quả: val macro-F1 0,7642, Δ −0,0939 = 24,4× 2σ (**vượt ngưỡng nhiễu**).</t>
  </si>
  <si>
    <t>Dự đoán: Momentum giúp ở lr thấp bằng cách giảm dao động ngang. Đối chiếu: Đúng rõ: 0,7686 so với 0,5938 của SGD cùng lr (chênh 0,175). Kết quả: val macro-F1 0,7686, Δ −0,0895 = 23,3× 2σ (**vượt ngưỡng nhiễu**).</t>
  </si>
  <si>
    <t>Dự đoán: Tốt hơn lr 0,01. Đối chiếu: Đúng. Kết quả: val macro-F1 0,8250, Δ −0,0331 = 8,6× 2σ (**vượt ngưỡng nhiễu**).</t>
  </si>
  <si>
    <t>Dự đoán: Bằng đúng baseline. Đối chiếu: Đúng tuyệt đối (cùng 6 chữ số thập phân) — xác nhận baseline CHÍNH LÀ SGD+momentum 0,9 ở lr 0,1. Kết quả: val macro-F1 0,8575, Δ −0,0006 = 0,2× 2σ (**dưới ngưỡng nhiễu**).</t>
  </si>
  <si>
    <t>Dự đoán: Thêm tầng tăng năng lực; nhưng giữ nguyên lr 0,1 nên có thể không hồi hết lợi ích. Đối chiếu: Tốt hơn baseline. M-deep có 55 687 tham số so với 47 879 của M-base — thêm tầng mà vẫn ít hơn M-wide. Kết quả: val macro-F1 0,8733, Δ +0,0152 = 4,0× 2σ (**vượt ngưỡng nhiễu**).</t>
  </si>
  <si>
    <t>Dự đoán: Rộng hơn, cùng lr, cùng số epoch. Đối chiếu: Tốt nhất nhóm kiến trúc. Vì 20 epoch mô hình còn dưới-khớp (val_loss − train_loss chỉ 0,022) nên thêm năng lực là có ích. Kết quả: val macro-F1 0,8778, Δ +0,0197 = 5,1× 2σ (**vượt ngưỡng nhiễu**).</t>
  </si>
  <si>
    <t>Dự đoán: Batch nhỏ → nhiều bước cập nhật hơn, nhiễu lớn hơn. Đối chiếu: Nhiều bước hơn gấp 4 nhưng Δ dưới ngưỡng 2σ ⇒ không kết luận được là tốt hơn. Đây là ví dụ rõ nhất về tầm quan trọng của việc đo độ nhiễu. Kết quả: val macro-F1 0,8609, Δ +0,0028 = 0,7× 2σ (**dưới ngưỡng nhiễu**).</t>
  </si>
  <si>
    <t>Dự đoán: Batch lớn → ít bước cập nhật trong ngân sách 20 epoch nên chưa hội tụ. Đối chiếu: Đúng và rõ: best_epoch = 20 (epoch cuối), val loss vẫn giảm. Cơ chế là SỐ BƯỚC CẬP NHẬT chứ không phải kích thước batch; muốn tối ưu 2048 thì phải tăng lr theo quy tắc lô×k — tôi cố ý không làm để giữ 'một yếu tố'. Kết quả: val macro-F1 0,8187, Δ −0,0394 = 10,3× 2σ (**vượt ngưỡng nhiễu**).</t>
  </si>
  <si>
    <t>Dự đoán: Cosine vẫn giữ lr cao ở giữa lịch nên tương đương baseline. Đối chiếu: Hơi tốt hơn và vượt ngưỡng nhiễu; cuối lịch lr nhỏ hơn hằng số nhưng đường val vẫn giảm đều nên không mất lợi thế. Kết quả: val macro-F1 0,8660, Δ +0,0079 = 2,1× 2σ (**vượt ngưỡng nhiễu**).</t>
  </si>
  <si>
    <t>Dự đoán: Chạy 3× epoch sẽ tốt nhất, vì best_epoch = 19/20 nghĩa là chưa hội tự. Đối chiếu: Đúng, và là bằng chứng mạnh nhất về số epoch. best_epoch = 57/60 — gần như chưa hội tự; khoảng cách val−train lên 0,042 nên bắt đầu quá khớp nhẹ. Kết quả: val macro-F1 0,8863, Δ +0,0282 = 7,3× 2σ (**vượt ngưỡng nhiễu**).</t>
  </si>
  <si>
    <t>Dự đoán: wd rất nhỏ, gần như không ảnh hưởng. Đối chiếu: SAI: giảm rõ. wd kết hợp với lr 0,1 làm chậm hội tụ; khớp với kết luận ở mục 3.2 rằng mô hình chưa quá khớp nên không cần 'damping'. Kết quả: val macro-F1 0,8367, Δ −0,0214 = 5,6× 2σ (**vượt ngưỡng nhiễu**).</t>
  </si>
  <si>
    <t>Dự đoán: q nhỏ có thể giúp nhẹ. Đối chiếu: SAI: Δ giảm 3,4× 2σ. Baseline mới ở dưới-khớp nên dropout chỉ thêm nhiễu, không có khoảng cách quá khớp nào để đóng. Kết quả: val macro-F1 0,8452, Δ −0,0129 = 3,4× 2σ (**vượt ngưỡng nhiễu**).</t>
  </si>
  <si>
    <t>Dự đoán: Không giúp, vì mô hình chưa quá khớp. Đối chiếu: Đúng, tệ hơn drop-0.1; giảm đơn điệu theo q. Kết quả: val macro-F1 0,8166, Δ −0,0415 = 10,8× 2σ (**vượt ngưỡng nhiễu**).</t>
  </si>
  <si>
    <t>Dự đoán: Quá mạnh, macro-F1 giảm rõ. Đối chiếu: Đúng, mạnh nhất nhóm. Điểm đáng chú ý: val−train hẹp lại còn 0,0021 — dropout đã làm đúng việc sinh ra là đóng khoảng cách, chỉ là không có khoảng cách để đóng. Kết quả: val macro-F1 0,6850, Δ −0,1731 = 45,1× 2σ (**vượt ngưỡng nhiễu**).</t>
  </si>
  <si>
    <t>Dự đoán: clip hiếm khi kích hoạt ở lr thường nên chênh lệch chỉ là nhiễu. Đối chiếu: SAI một phần: Δ là 1,3× 2σ tức hơi CÓ HẠI chứ không phải nhiễu. Cơ chế: phần lớn grad_norm đã dưới 1 (trung vị 0,569) nên cắt chỉ bỏ đi gradient lớn mang tín hiệu thật. Kết quả: val macro-F1 0,8530, Δ −0,0051 = 1,3× 2σ (**vượt ngưỡng nhiễu**).</t>
  </si>
  <si>
    <t>Dự đoán: Ở lr cao, clipping phải cứu được huấn luyện. Đối chiếu: Đúng một phần: 0,8151, cứu được so với ca không clip nhưng vẫn kém baseline. max grad_norm bị bóp từ 11,932 xuống 3,969. Kết quả: val macro-F1 0,8151, Δ −0,0430 = 11,2× 2σ (**vượt ngưỡng nhiễu**).</t>
  </si>
  <si>
    <t>Dự đoán: lr cao không clip sẽ làm loss dao động hoặc NaN. Đối chiếu: Đúng một phần: chỉ suy giảm chứ không NaN — cờ diverged = N cho cả 39/39 lần chạy. max grad_norm nhảy lên 11,932 và best_epoch rút từ 19 về 15. Kết quả: val macro-F1 0,6276, Δ −0,2305 = 60,0× 2σ (**vượt ngưỡng nhiễu**).</t>
  </si>
  <si>
    <t>Dự đoán: GPU có phần cứng BF16 nên chạy được; chất lượng gần như không đổi. Đối chiếu: Đúng về chất lượng (trong nhiễu so với đối chứng clip-1.0, cùng clip_norm) nhưng SAI về tốc độ: chậm hơn FP32 1,22×. max grad_norm = 2,904, không tràn — đúng dự đoán là không cần GradScaler. Kết quả: val macro-F1 0,8569, Δ −0,0012 = 0,3× 2σ (**dưới ngưỡng nhiễu**).</t>
  </si>
  <si>
    <t>Dự đoán: không nhanh hơn FP32 vì mạng nhỏ; chất lượng gần như không đổi. Đối chiếu: Đúng cả hai: chậm hơn 1,50× so với clip-1.0, còn macro-F1 +0,0096 (2,5× 2σ, tức không giảm). Nhưng KHÔNG dự đoán được tràn số thật: max grad_norm = inf và GradScaler phải bỏ qua bước cập nhật đó. Kết quả: val macro-F1 0,8626, Δ +0,0045 = 1,2× 2σ (**vượt ngưỡng nhiễu**).</t>
  </si>
  <si>
    <t>Dự đoán: PyTorch mặc định uniform, Var = 1/(3·n_in) — khác He, kỳ vọng học chậm hơn. Đối chiếu: Không thấy khác biệt: Δ trong nhiễu. std kích hoạt sụp mạnh qua tầng (0,1693 → 0,0674) nhưng 20 epoch × 726 bước vẫn đủ bù. Kết quả: val macro-F1 0,8579, Δ −0,0003 = 0,1× 2σ (**dưới ngưỡng nhiễu**).</t>
  </si>
  <si>
    <t>Dự đoán: W ~ N(0, 0,01²) quá nhỏ nên tín hiệu ở tầng sau yếu, học chậm. Đối chiếu: SAI về tốc độ: vẫn học được và tốt nhất nhóm, nhưng Δ chỉ 0,7× 2σ nên KHÔNG kết luận là tốt hơn. std kích hoạt sụp ~100× qua 2 tầng (0,0211 → 0,0025). Kết quả: val macro-F1 0,8609, Δ +0,0028 = 0,7× 2σ (**dưới ngưỡng nhiễu**).</t>
  </si>
  <si>
    <t>Dự đoán: Xavier tính cả chiều ra nên tín hiệu yếu hơn He khi dùng ReLU. Đối chiếu: Cơ chế đúng nhưng không đo được: Δ trong nhiễu. Với chỉ 2 lớp ẩn, He / Xavier / mặc định cho kết quả tương đương. Kết quả: val macro-F1 0,8561, Δ −0,0020 = 0,5× 2σ (**dưới ngưỡng nhiễu**).</t>
  </si>
  <si>
    <t>Dự đoán: W = 0 sẽ mất tính đối xứng và ReLU(0) chặn gradient nên không học được. Đối chiếu: Đúng, không học được: macro-F1 = 0,0936 và accuracy = 0,4876 — bằng đúng mức 'đoán đa số'. Bài học quan trọng: loss bước 0 = 1,9459 = ln 7 CHÍNH XÁC (logit đều 0) mà đáp án vẫn sai ⇒ loss bước 0 khớp ln 7 KHÔNG chứng minh mô hình hợp lệ. Kết quả: val macro-F1 0,0936, Δ −0,7645 = 199,1× 2σ (**vượt ngưỡng nhiễu**).</t>
  </si>
  <si>
    <t>Dự đoán: Ghép Adam 0,003 + M-wide + 40 epoch; kỳ vọng vượt mọi arm đơn lẻ. Đối chiếu: Đúng và vượt mọi arm đơn lẻ. Đây là seed được nộp (predictions_eval.csv) — chọn theo quy ước seed 1, KHÔNG chọn theo val (nên hơi dưới trung bình 3 seed). Kết quả: val macro-F1 0,8901, Δ +0,0320 = 8,3× 2σ (**vượt ngưỡng nhiễu**).</t>
  </si>
  <si>
    <t>Dự đoán: Như final-s1, chỉ khác seed. Đối chiếu: Đúng. Cao hơn final-s1 trên val, nhưng tôi vẫn nộp seed 1 vì quy định chỉ chạy evaluate.py một lần cho một cấu hình. Kết quả: val macro-F1 0,8932, Δ +0,0351 = 9,1× 2σ (**vượt ngưỡng nhiễu**).</t>
  </si>
  <si>
    <t>Dự đoán: Như final-s1, chỉ khác seed. Đối chiếu: Đúng. Cả 3 seed đều vượt baseline ~9× 2σ và best_epoch = 38–40/40 ⇒ vẫn đang học, phòng thí nghiệm còn dư. Kết quả: val macro-F1 0,8965, Δ +0,0384 = 10,0× 2σ (**vượt ngưỡng nhiễu**).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</si>
</sst>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topLeftCell="A61" zoomScaleNormal="100" workbookViewId="0">
      <selection activeCell="E24" sqref="E24"/>
    </sheetView>
  </sheetViews>
  <sheetFormatPr defaultColWidth="8.6640625" defaultRowHeight="14.4" x14ac:dyDescent="0.3"/>
  <cols>
    <col min="1" max="1" width="24" customWidth="1"/>
    <col min="2" max="2" width="60" customWidth="1"/>
    <col min="3" max="3" width="52" customWidth="1"/>
    <col min="4" max="12" width="14" customWidth="1"/>
  </cols>
  <sheetData>
    <row r="1" spans="1:2" ht="17.399999999999999" customHeight="1" x14ac:dyDescent="0.3">
      <c r="A1" s="1" t="s">
        <v>0</v>
      </c>
    </row>
    <row r="2" spans="1:2" ht="15" customHeight="1" x14ac:dyDescent="0.3">
      <c r="A2" s="2" t="s">
        <v>1</v>
      </c>
    </row>
    <row r="4" spans="1:2" ht="15" customHeight="1" x14ac:dyDescent="0.3">
      <c r="A4" s="3" t="s">
        <v>2</v>
      </c>
    </row>
    <row r="5" spans="1:2" ht="15" customHeight="1" x14ac:dyDescent="0.3">
      <c r="A5" s="4" t="s">
        <v>3</v>
      </c>
      <c r="B5" s="2" t="s">
        <v>4</v>
      </c>
    </row>
    <row r="6" spans="1:2" ht="15" customHeight="1" x14ac:dyDescent="0.3">
      <c r="A6" s="5" t="s">
        <v>5</v>
      </c>
      <c r="B6" s="2" t="s">
        <v>6</v>
      </c>
    </row>
    <row r="7" spans="1:2" ht="15" customHeight="1" x14ac:dyDescent="0.3">
      <c r="A7" s="6" t="s">
        <v>3</v>
      </c>
      <c r="B7" s="2" t="s">
        <v>7</v>
      </c>
    </row>
    <row r="9" spans="1:2" ht="15" customHeight="1" x14ac:dyDescent="0.3">
      <c r="A9" s="3" t="s">
        <v>8</v>
      </c>
    </row>
    <row r="10" spans="1:2" ht="15" customHeight="1" x14ac:dyDescent="0.3">
      <c r="A10" s="2" t="s">
        <v>9</v>
      </c>
    </row>
    <row r="11" spans="1:2" ht="15" customHeight="1" x14ac:dyDescent="0.3">
      <c r="A11" s="2" t="s">
        <v>10</v>
      </c>
    </row>
    <row r="12" spans="1:2" ht="15" customHeight="1" x14ac:dyDescent="0.3">
      <c r="A12" s="2" t="s">
        <v>11</v>
      </c>
    </row>
    <row r="13" spans="1:2" ht="15" customHeight="1" x14ac:dyDescent="0.3">
      <c r="A13" s="2" t="s">
        <v>12</v>
      </c>
    </row>
    <row r="14" spans="1:2" ht="15" customHeight="1" x14ac:dyDescent="0.3">
      <c r="A14" s="2" t="s">
        <v>13</v>
      </c>
    </row>
    <row r="16" spans="1:2" ht="15" customHeight="1" x14ac:dyDescent="0.3">
      <c r="A16" s="3" t="s">
        <v>14</v>
      </c>
    </row>
    <row r="17" spans="1:3" ht="15" customHeight="1" x14ac:dyDescent="0.3">
      <c r="A17" s="7" t="s">
        <v>15</v>
      </c>
      <c r="B17" s="7" t="s">
        <v>16</v>
      </c>
      <c r="C17" s="7" t="s">
        <v>17</v>
      </c>
    </row>
    <row r="18" spans="1:3" ht="15" customHeight="1" x14ac:dyDescent="0.3">
      <c r="A18" s="8" t="s">
        <v>18</v>
      </c>
      <c r="B18" s="9" t="s">
        <v>19</v>
      </c>
      <c r="C18" s="9" t="s">
        <v>20</v>
      </c>
    </row>
    <row r="19" spans="1:3" ht="23.85" customHeight="1" x14ac:dyDescent="0.3">
      <c r="A19" s="8" t="s">
        <v>21</v>
      </c>
      <c r="B19" s="9" t="s">
        <v>22</v>
      </c>
      <c r="C19" s="9" t="s">
        <v>23</v>
      </c>
    </row>
    <row r="20" spans="1:3" ht="15" customHeight="1" x14ac:dyDescent="0.3">
      <c r="A20" s="8" t="s">
        <v>24</v>
      </c>
      <c r="B20" s="9" t="s">
        <v>25</v>
      </c>
      <c r="C20" s="9" t="s">
        <v>26</v>
      </c>
    </row>
    <row r="21" spans="1:3" ht="15" customHeight="1" x14ac:dyDescent="0.3">
      <c r="A21" s="8" t="s">
        <v>27</v>
      </c>
      <c r="B21" s="9" t="s">
        <v>28</v>
      </c>
      <c r="C21" s="9" t="s">
        <v>23</v>
      </c>
    </row>
    <row r="22" spans="1:3" ht="15" customHeight="1" x14ac:dyDescent="0.3">
      <c r="A22" s="8" t="s">
        <v>29</v>
      </c>
      <c r="B22" s="9" t="s">
        <v>30</v>
      </c>
      <c r="C22" s="9" t="s">
        <v>23</v>
      </c>
    </row>
    <row r="23" spans="1:3" ht="15" customHeight="1" x14ac:dyDescent="0.3">
      <c r="A23" s="8" t="s">
        <v>31</v>
      </c>
      <c r="B23" s="9" t="s">
        <v>32</v>
      </c>
      <c r="C23" s="9" t="s">
        <v>33</v>
      </c>
    </row>
    <row r="24" spans="1:3" ht="15" customHeight="1" x14ac:dyDescent="0.3">
      <c r="A24" s="8" t="s">
        <v>34</v>
      </c>
      <c r="B24" s="9" t="s">
        <v>35</v>
      </c>
      <c r="C24" s="9" t="s">
        <v>36</v>
      </c>
    </row>
    <row r="25" spans="1:3" ht="15" customHeight="1" x14ac:dyDescent="0.3">
      <c r="A25" s="8" t="s">
        <v>37</v>
      </c>
      <c r="B25" s="9" t="s">
        <v>38</v>
      </c>
      <c r="C25" s="9" t="s">
        <v>39</v>
      </c>
    </row>
    <row r="26" spans="1:3" ht="15" customHeight="1" x14ac:dyDescent="0.3">
      <c r="A26" s="8" t="s">
        <v>40</v>
      </c>
      <c r="B26" s="9" t="s">
        <v>41</v>
      </c>
      <c r="C26" s="9" t="s">
        <v>42</v>
      </c>
    </row>
    <row r="27" spans="1:3" ht="15" customHeight="1" x14ac:dyDescent="0.3">
      <c r="A27" s="8" t="s">
        <v>43</v>
      </c>
      <c r="B27" s="9" t="s">
        <v>44</v>
      </c>
      <c r="C27" s="9" t="s">
        <v>45</v>
      </c>
    </row>
    <row r="28" spans="1:3" ht="15" customHeight="1" x14ac:dyDescent="0.3">
      <c r="A28" s="8" t="s">
        <v>46</v>
      </c>
      <c r="B28" s="9" t="s">
        <v>47</v>
      </c>
      <c r="C28" s="9" t="s">
        <v>36</v>
      </c>
    </row>
    <row r="29" spans="1:3" ht="15" customHeight="1" x14ac:dyDescent="0.3">
      <c r="A29" s="8" t="s">
        <v>48</v>
      </c>
      <c r="B29" s="9" t="s">
        <v>49</v>
      </c>
      <c r="C29" s="9" t="s">
        <v>50</v>
      </c>
    </row>
    <row r="30" spans="1:3" ht="15" customHeight="1" x14ac:dyDescent="0.3">
      <c r="A30" s="8" t="s">
        <v>51</v>
      </c>
      <c r="B30" s="9" t="s">
        <v>52</v>
      </c>
      <c r="C30" s="9" t="s">
        <v>23</v>
      </c>
    </row>
    <row r="31" spans="1:3" ht="15" customHeight="1" x14ac:dyDescent="0.3">
      <c r="A31" s="8" t="s">
        <v>53</v>
      </c>
      <c r="B31" s="9" t="s">
        <v>54</v>
      </c>
      <c r="C31" s="9" t="s">
        <v>55</v>
      </c>
    </row>
    <row r="32" spans="1:3" ht="15" customHeight="1" x14ac:dyDescent="0.3">
      <c r="A32" s="8" t="s">
        <v>56</v>
      </c>
      <c r="B32" s="9" t="s">
        <v>57</v>
      </c>
      <c r="C32" s="9" t="s">
        <v>39</v>
      </c>
    </row>
    <row r="33" spans="1:3" ht="15" customHeight="1" x14ac:dyDescent="0.3">
      <c r="A33" s="8" t="s">
        <v>58</v>
      </c>
      <c r="B33" s="9" t="s">
        <v>59</v>
      </c>
      <c r="C33" s="9" t="s">
        <v>60</v>
      </c>
    </row>
    <row r="34" spans="1:3" ht="15" customHeight="1" x14ac:dyDescent="0.3">
      <c r="A34" s="8" t="s">
        <v>61</v>
      </c>
      <c r="B34" s="9" t="s">
        <v>62</v>
      </c>
      <c r="C34" s="9"/>
    </row>
    <row r="35" spans="1:3" ht="15" customHeight="1" x14ac:dyDescent="0.3">
      <c r="A35" s="8" t="s">
        <v>63</v>
      </c>
      <c r="B35" s="9" t="s">
        <v>64</v>
      </c>
      <c r="C35" s="9" t="s">
        <v>65</v>
      </c>
    </row>
    <row r="36" spans="1:3" ht="15" customHeight="1" x14ac:dyDescent="0.3">
      <c r="A36" s="8" t="s">
        <v>66</v>
      </c>
      <c r="B36" s="9" t="s">
        <v>67</v>
      </c>
      <c r="C36" s="9"/>
    </row>
    <row r="37" spans="1:3" ht="15" customHeight="1" x14ac:dyDescent="0.3">
      <c r="A37" s="8" t="s">
        <v>68</v>
      </c>
      <c r="B37" s="9" t="s">
        <v>69</v>
      </c>
      <c r="C37" s="9"/>
    </row>
    <row r="38" spans="1:3" ht="15" customHeight="1" x14ac:dyDescent="0.3">
      <c r="A38" s="8" t="s">
        <v>70</v>
      </c>
      <c r="B38" s="9" t="s">
        <v>71</v>
      </c>
      <c r="C38" s="9" t="s">
        <v>72</v>
      </c>
    </row>
    <row r="39" spans="1:3" ht="15" customHeight="1" x14ac:dyDescent="0.3">
      <c r="A39" s="8" t="s">
        <v>73</v>
      </c>
      <c r="B39" s="9" t="s">
        <v>74</v>
      </c>
      <c r="C39" s="9" t="s">
        <v>75</v>
      </c>
    </row>
    <row r="40" spans="1:3" ht="15" customHeight="1" x14ac:dyDescent="0.3">
      <c r="A40" s="8" t="s">
        <v>76</v>
      </c>
      <c r="B40" s="9" t="s">
        <v>77</v>
      </c>
      <c r="C40" s="9" t="s">
        <v>78</v>
      </c>
    </row>
    <row r="41" spans="1:3" ht="15" customHeight="1" x14ac:dyDescent="0.3">
      <c r="A41" s="8" t="s">
        <v>79</v>
      </c>
      <c r="B41" s="9" t="s">
        <v>80</v>
      </c>
      <c r="C41" s="9" t="s">
        <v>81</v>
      </c>
    </row>
    <row r="42" spans="1:3" ht="15" customHeight="1" x14ac:dyDescent="0.3">
      <c r="A42" s="8" t="s">
        <v>82</v>
      </c>
      <c r="B42" s="9" t="s">
        <v>83</v>
      </c>
      <c r="C42" s="9" t="s">
        <v>23</v>
      </c>
    </row>
    <row r="43" spans="1:3" ht="23.85" customHeight="1" x14ac:dyDescent="0.3">
      <c r="A43" s="8" t="s">
        <v>84</v>
      </c>
      <c r="B43" s="9" t="s">
        <v>85</v>
      </c>
      <c r="C43" s="9" t="s">
        <v>86</v>
      </c>
    </row>
    <row r="44" spans="1:3" ht="23.85" customHeight="1" x14ac:dyDescent="0.3">
      <c r="A44" s="8" t="s">
        <v>87</v>
      </c>
      <c r="B44" s="9" t="s">
        <v>88</v>
      </c>
      <c r="C44" s="9" t="s">
        <v>86</v>
      </c>
    </row>
    <row r="45" spans="1:3" ht="15" customHeight="1" x14ac:dyDescent="0.3">
      <c r="A45" s="8" t="s">
        <v>89</v>
      </c>
      <c r="B45" s="9" t="s">
        <v>90</v>
      </c>
      <c r="C45" s="9" t="s">
        <v>91</v>
      </c>
    </row>
    <row r="46" spans="1:3" ht="15" customHeight="1" x14ac:dyDescent="0.3">
      <c r="A46" s="8" t="s">
        <v>92</v>
      </c>
      <c r="B46" s="9" t="s">
        <v>93</v>
      </c>
      <c r="C46" s="9" t="s">
        <v>94</v>
      </c>
    </row>
    <row r="47" spans="1:3" ht="15" customHeight="1" x14ac:dyDescent="0.3">
      <c r="A47" s="8" t="s">
        <v>95</v>
      </c>
      <c r="B47" s="9" t="s">
        <v>96</v>
      </c>
      <c r="C47" s="9" t="s">
        <v>97</v>
      </c>
    </row>
    <row r="48" spans="1:3" ht="15" customHeight="1" x14ac:dyDescent="0.3">
      <c r="A48" s="8" t="s">
        <v>98</v>
      </c>
      <c r="B48" s="9" t="s">
        <v>99</v>
      </c>
      <c r="C48" s="9" t="s">
        <v>100</v>
      </c>
    </row>
    <row r="49" spans="1:12" ht="15" customHeight="1" x14ac:dyDescent="0.3">
      <c r="A49" s="8" t="s">
        <v>101</v>
      </c>
      <c r="B49" s="9" t="s">
        <v>102</v>
      </c>
      <c r="C49" s="9" t="s">
        <v>103</v>
      </c>
    </row>
    <row r="50" spans="1:12" ht="15" customHeight="1" x14ac:dyDescent="0.3">
      <c r="A50" s="8" t="s">
        <v>104</v>
      </c>
      <c r="B50" s="9" t="s">
        <v>105</v>
      </c>
      <c r="C50" s="9" t="s">
        <v>106</v>
      </c>
    </row>
    <row r="52" spans="1:12" ht="15" customHeight="1" x14ac:dyDescent="0.3">
      <c r="A52" s="3" t="s">
        <v>107</v>
      </c>
    </row>
    <row r="53" spans="1:12" ht="23.85" customHeight="1" x14ac:dyDescent="0.3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spans="1:12" ht="15" customHeight="1" x14ac:dyDescent="0.3">
      <c r="A54" s="11" t="s">
        <v>108</v>
      </c>
      <c r="B54" s="11" t="s">
        <v>29</v>
      </c>
      <c r="C54" s="11" t="s">
        <v>109</v>
      </c>
      <c r="D54" s="11">
        <v>1E-3</v>
      </c>
      <c r="E54" s="11">
        <v>1.95</v>
      </c>
      <c r="F54" s="11">
        <v>0.6</v>
      </c>
      <c r="G54" s="11">
        <v>18</v>
      </c>
      <c r="H54" s="11">
        <v>0.75</v>
      </c>
      <c r="I54" s="11">
        <v>0.65</v>
      </c>
      <c r="J54" s="11">
        <v>2.1</v>
      </c>
      <c r="K54" s="11" t="s">
        <v>110</v>
      </c>
      <c r="L54" s="11" t="s">
        <v>111</v>
      </c>
    </row>
    <row r="56" spans="1:12" ht="15" customHeight="1" x14ac:dyDescent="0.3">
      <c r="A56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6" customWidth="1"/>
    <col min="2" max="2" width="11" customWidth="1"/>
    <col min="3" max="3" width="34" customWidth="1"/>
    <col min="4" max="4" width="8" customWidth="1"/>
    <col min="5" max="5" width="15" customWidth="1"/>
    <col min="6" max="7" width="9" customWidth="1"/>
    <col min="8" max="9" width="7" customWidth="1"/>
    <col min="10" max="10" width="12" customWidth="1"/>
    <col min="11" max="11" width="8" customWidth="1"/>
    <col min="12" max="12" width="9" customWidth="1"/>
    <col min="13" max="13" width="10" customWidth="1"/>
    <col min="14" max="14" width="9" customWidth="1"/>
    <col min="15" max="15" width="6" customWidth="1"/>
    <col min="16" max="17" width="10" customWidth="1"/>
    <col min="18" max="18" width="8" customWidth="1"/>
    <col min="19" max="20" width="10" customWidth="1"/>
    <col min="21" max="22" width="9" customWidth="1"/>
    <col min="23" max="23" width="10" customWidth="1"/>
    <col min="24" max="27" width="9" customWidth="1"/>
    <col min="28" max="28" width="22" customWidth="1"/>
    <col min="29" max="29" width="36" customWidth="1"/>
    <col min="30" max="32" width="10" customWidth="1"/>
    <col min="33" max="33" width="9" customWidth="1"/>
  </cols>
  <sheetData>
    <row r="1" spans="1:33" ht="42" customHeight="1" x14ac:dyDescent="0.3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spans="1:33" ht="15" customHeight="1" x14ac:dyDescent="0.3">
      <c r="A2" s="12" t="s">
        <v>113</v>
      </c>
      <c r="B2" s="12" t="s">
        <v>114</v>
      </c>
      <c r="C2" s="12" t="s">
        <v>115</v>
      </c>
      <c r="D2" s="12" t="s">
        <v>116</v>
      </c>
      <c r="E2" s="12" t="s">
        <v>117</v>
      </c>
      <c r="F2" s="13">
        <v>0.1</v>
      </c>
      <c r="G2" s="12">
        <v>0</v>
      </c>
      <c r="H2" s="12">
        <v>512</v>
      </c>
      <c r="I2" s="12">
        <v>20</v>
      </c>
      <c r="J2" s="12" t="s">
        <v>118</v>
      </c>
      <c r="K2" s="12">
        <v>0</v>
      </c>
      <c r="L2" s="12" t="s">
        <v>119</v>
      </c>
      <c r="M2" s="12" t="s">
        <v>120</v>
      </c>
      <c r="N2" s="12" t="s">
        <v>121</v>
      </c>
      <c r="O2" s="12">
        <v>1</v>
      </c>
      <c r="P2" s="14">
        <v>2.2690619999999999</v>
      </c>
      <c r="Q2" s="14">
        <v>0.23269799999999999</v>
      </c>
      <c r="R2" s="13">
        <v>19</v>
      </c>
      <c r="S2" s="14">
        <v>0.216029</v>
      </c>
      <c r="T2" s="14">
        <v>0.237764</v>
      </c>
      <c r="U2" s="14">
        <v>0.90705899999999995</v>
      </c>
      <c r="V2" s="14">
        <v>0.85749299999999995</v>
      </c>
      <c r="W2" s="13">
        <v>1.44</v>
      </c>
      <c r="X2" s="13">
        <v>180.9</v>
      </c>
      <c r="Y2" s="13" t="s">
        <v>110</v>
      </c>
      <c r="Z2" s="14">
        <v>0.90584600000000004</v>
      </c>
      <c r="AA2" s="14">
        <v>0.85639500000000002</v>
      </c>
      <c r="AB2" s="13" t="s">
        <v>122</v>
      </c>
      <c r="AC2" s="13" t="s">
        <v>277</v>
      </c>
      <c r="AD2" s="15">
        <f t="shared" ref="AD2:AD33" si="0">IF(P2="","",P2-LN(7))</f>
        <v>0.32315185094468668</v>
      </c>
      <c r="AE2" s="15">
        <f t="shared" ref="AE2:AE33" si="1">IF(OR(T2="",S2=""),"",T2-S2)</f>
        <v>2.1735000000000004E-2</v>
      </c>
      <c r="AF2" s="15">
        <f>IF(OR(V2="",Seeds!$C$8=""),"",V2-Seeds!$C$8)</f>
        <v>-6.0733333333340411E-4</v>
      </c>
      <c r="AG2" s="15" t="str">
        <f>IF(OR(AF2="",Seeds!$C$10=""),"",IF(ABS(AF2)&gt;Seeds!$C$10,"Có","Không"))</f>
        <v>Không</v>
      </c>
    </row>
    <row r="3" spans="1:33" ht="15" customHeight="1" x14ac:dyDescent="0.3">
      <c r="A3" s="13" t="s">
        <v>123</v>
      </c>
      <c r="B3" s="13" t="s">
        <v>114</v>
      </c>
      <c r="C3" s="13" t="s">
        <v>124</v>
      </c>
      <c r="D3" s="13" t="s">
        <v>116</v>
      </c>
      <c r="E3" s="13" t="s">
        <v>117</v>
      </c>
      <c r="F3" s="13">
        <v>0.1</v>
      </c>
      <c r="G3" s="13">
        <v>0</v>
      </c>
      <c r="H3" s="13">
        <v>512</v>
      </c>
      <c r="I3" s="13">
        <v>20</v>
      </c>
      <c r="J3" s="13" t="s">
        <v>118</v>
      </c>
      <c r="K3" s="13">
        <v>0</v>
      </c>
      <c r="L3" s="13" t="s">
        <v>119</v>
      </c>
      <c r="M3" s="13" t="s">
        <v>120</v>
      </c>
      <c r="N3" s="13" t="s">
        <v>121</v>
      </c>
      <c r="O3" s="13">
        <v>2</v>
      </c>
      <c r="P3" s="14">
        <v>1.9781569999999999</v>
      </c>
      <c r="Q3" s="14">
        <v>0.22398299999999999</v>
      </c>
      <c r="R3" s="13">
        <v>20</v>
      </c>
      <c r="S3" s="14">
        <v>0.20019500000000001</v>
      </c>
      <c r="T3" s="14">
        <v>0.22398299999999999</v>
      </c>
      <c r="U3" s="14">
        <v>0.91075899999999999</v>
      </c>
      <c r="V3" s="14">
        <v>0.85655499999999996</v>
      </c>
      <c r="W3" s="13">
        <v>1.64</v>
      </c>
      <c r="X3" s="13">
        <v>174</v>
      </c>
      <c r="Y3" s="13" t="s">
        <v>110</v>
      </c>
      <c r="Z3" s="14"/>
      <c r="AA3" s="14"/>
      <c r="AB3" s="13" t="s">
        <v>125</v>
      </c>
      <c r="AC3" s="13" t="s">
        <v>278</v>
      </c>
      <c r="AD3" s="15">
        <f t="shared" si="0"/>
        <v>3.2246850944686711E-2</v>
      </c>
      <c r="AE3" s="15">
        <f t="shared" si="1"/>
        <v>2.3787999999999976E-2</v>
      </c>
      <c r="AF3" s="15">
        <f>IF(OR(V3="",Seeds!$C$8=""),"",V3-Seeds!$C$8)</f>
        <v>-1.5453333333333985E-3</v>
      </c>
      <c r="AG3" s="15" t="str">
        <f>IF(OR(AF3="",Seeds!$C$10=""),"",IF(ABS(AF3)&gt;Seeds!$C$10,"Có","Không"))</f>
        <v>Không</v>
      </c>
    </row>
    <row r="4" spans="1:33" ht="15" customHeight="1" x14ac:dyDescent="0.3">
      <c r="A4" s="13" t="s">
        <v>126</v>
      </c>
      <c r="B4" s="13" t="s">
        <v>114</v>
      </c>
      <c r="C4" s="13" t="s">
        <v>127</v>
      </c>
      <c r="D4" s="13" t="s">
        <v>116</v>
      </c>
      <c r="E4" s="13" t="s">
        <v>117</v>
      </c>
      <c r="F4" s="13">
        <v>0.1</v>
      </c>
      <c r="G4" s="13">
        <v>0</v>
      </c>
      <c r="H4" s="13">
        <v>512</v>
      </c>
      <c r="I4" s="13">
        <v>20</v>
      </c>
      <c r="J4" s="13" t="s">
        <v>118</v>
      </c>
      <c r="K4" s="13">
        <v>0</v>
      </c>
      <c r="L4" s="13" t="s">
        <v>119</v>
      </c>
      <c r="M4" s="13" t="s">
        <v>120</v>
      </c>
      <c r="N4" s="13" t="s">
        <v>121</v>
      </c>
      <c r="O4" s="13">
        <v>3</v>
      </c>
      <c r="P4" s="14">
        <v>1.9005399999999999</v>
      </c>
      <c r="Q4" s="14">
        <v>0.22358800000000001</v>
      </c>
      <c r="R4" s="13">
        <v>20</v>
      </c>
      <c r="S4" s="14">
        <v>0.19787199999999999</v>
      </c>
      <c r="T4" s="14">
        <v>0.22358800000000001</v>
      </c>
      <c r="U4" s="14">
        <v>0.91292099999999998</v>
      </c>
      <c r="V4" s="14">
        <v>0.86025300000000005</v>
      </c>
      <c r="W4" s="13">
        <v>1.81</v>
      </c>
      <c r="X4" s="13">
        <v>174.2</v>
      </c>
      <c r="Y4" s="13" t="s">
        <v>110</v>
      </c>
      <c r="Z4" s="14"/>
      <c r="AA4" s="14"/>
      <c r="AB4" s="13" t="s">
        <v>128</v>
      </c>
      <c r="AC4" s="13" t="s">
        <v>279</v>
      </c>
      <c r="AD4" s="15">
        <f t="shared" si="0"/>
        <v>-4.5370149055313336E-2</v>
      </c>
      <c r="AE4" s="15">
        <f t="shared" si="1"/>
        <v>2.5716000000000017E-2</v>
      </c>
      <c r="AF4" s="15">
        <f>IF(OR(V4="",Seeds!$C$8=""),"",V4-Seeds!$C$8)</f>
        <v>2.1526666666666916E-3</v>
      </c>
      <c r="AG4" s="15" t="str">
        <f>IF(OR(AF4="",Seeds!$C$10=""),"",IF(ABS(AF4)&gt;Seeds!$C$10,"Có","Không"))</f>
        <v>Không</v>
      </c>
    </row>
    <row r="5" spans="1:33" ht="15" customHeight="1" x14ac:dyDescent="0.3">
      <c r="A5" s="13" t="s">
        <v>129</v>
      </c>
      <c r="B5" s="13" t="s">
        <v>27</v>
      </c>
      <c r="C5" s="13" t="s">
        <v>130</v>
      </c>
      <c r="D5" s="13" t="s">
        <v>131</v>
      </c>
      <c r="E5" s="13" t="s">
        <v>117</v>
      </c>
      <c r="F5" s="13">
        <v>0.1</v>
      </c>
      <c r="G5" s="13">
        <v>0</v>
      </c>
      <c r="H5" s="13">
        <v>512</v>
      </c>
      <c r="I5" s="13">
        <v>20</v>
      </c>
      <c r="J5" s="13" t="s">
        <v>118</v>
      </c>
      <c r="K5" s="13">
        <v>0</v>
      </c>
      <c r="L5" s="13" t="s">
        <v>119</v>
      </c>
      <c r="M5" s="13" t="s">
        <v>120</v>
      </c>
      <c r="N5" s="13" t="s">
        <v>121</v>
      </c>
      <c r="O5" s="13">
        <v>1</v>
      </c>
      <c r="P5" s="14">
        <v>0.63585000000000003</v>
      </c>
      <c r="Q5" s="14">
        <v>2.9812000000000002E-2</v>
      </c>
      <c r="R5" s="13">
        <v>18</v>
      </c>
      <c r="S5" s="14">
        <v>2.9659999999999999E-2</v>
      </c>
      <c r="T5" s="14">
        <v>3.0644999999999999E-2</v>
      </c>
      <c r="U5" s="14">
        <v>0.86915100000000001</v>
      </c>
      <c r="V5" s="14">
        <v>0.73343199999999997</v>
      </c>
      <c r="W5" s="13">
        <v>1.71</v>
      </c>
      <c r="X5" s="13">
        <v>174.4</v>
      </c>
      <c r="Y5" s="13" t="s">
        <v>110</v>
      </c>
      <c r="Z5" s="14"/>
      <c r="AA5" s="14"/>
      <c r="AB5" s="13" t="s">
        <v>132</v>
      </c>
      <c r="AC5" s="13" t="s">
        <v>280</v>
      </c>
      <c r="AD5" s="15">
        <f t="shared" si="0"/>
        <v>-1.3100601490553132</v>
      </c>
      <c r="AE5" s="15">
        <f t="shared" si="1"/>
        <v>9.8499999999999976E-4</v>
      </c>
      <c r="AF5" s="15">
        <f>IF(OR(V5="",Seeds!$C$8=""),"",V5-Seeds!$C$8)</f>
        <v>-0.12466833333333338</v>
      </c>
      <c r="AG5" s="15" t="str">
        <f>IF(OR(AF5="",Seeds!$C$10=""),"",IF(ABS(AF5)&gt;Seeds!$C$10,"Có","Không"))</f>
        <v>Có</v>
      </c>
    </row>
    <row r="6" spans="1:33" ht="15" customHeight="1" x14ac:dyDescent="0.3">
      <c r="A6" s="13" t="s">
        <v>133</v>
      </c>
      <c r="B6" s="13" t="s">
        <v>29</v>
      </c>
      <c r="C6" s="13" t="s">
        <v>134</v>
      </c>
      <c r="D6" s="13" t="s">
        <v>116</v>
      </c>
      <c r="E6" s="13" t="s">
        <v>109</v>
      </c>
      <c r="F6" s="13">
        <v>2.9999999999999997E-4</v>
      </c>
      <c r="G6" s="13">
        <v>0</v>
      </c>
      <c r="H6" s="13">
        <v>512</v>
      </c>
      <c r="I6" s="13">
        <v>20</v>
      </c>
      <c r="J6" s="13" t="s">
        <v>118</v>
      </c>
      <c r="K6" s="13">
        <v>0</v>
      </c>
      <c r="L6" s="13" t="s">
        <v>119</v>
      </c>
      <c r="M6" s="13" t="s">
        <v>120</v>
      </c>
      <c r="N6" s="13" t="s">
        <v>121</v>
      </c>
      <c r="O6" s="13">
        <v>1</v>
      </c>
      <c r="P6" s="14">
        <v>2.2690619999999999</v>
      </c>
      <c r="Q6" s="14">
        <v>0.311052</v>
      </c>
      <c r="R6" s="13">
        <v>20</v>
      </c>
      <c r="S6" s="14">
        <v>0.29965799999999998</v>
      </c>
      <c r="T6" s="14">
        <v>0.311052</v>
      </c>
      <c r="U6" s="14">
        <v>0.87366900000000003</v>
      </c>
      <c r="V6" s="14">
        <v>0.79543200000000003</v>
      </c>
      <c r="W6" s="13">
        <v>2.15</v>
      </c>
      <c r="X6" s="13">
        <v>175.3</v>
      </c>
      <c r="Y6" s="13" t="s">
        <v>110</v>
      </c>
      <c r="Z6" s="14"/>
      <c r="AA6" s="14"/>
      <c r="AB6" s="13" t="s">
        <v>135</v>
      </c>
      <c r="AC6" s="13" t="s">
        <v>281</v>
      </c>
      <c r="AD6" s="15">
        <f t="shared" si="0"/>
        <v>0.32315185094468668</v>
      </c>
      <c r="AE6" s="15">
        <f t="shared" si="1"/>
        <v>1.1394000000000015E-2</v>
      </c>
      <c r="AF6" s="15">
        <f>IF(OR(V6="",Seeds!$C$8=""),"",V6-Seeds!$C$8)</f>
        <v>-6.2668333333333326E-2</v>
      </c>
      <c r="AG6" s="15" t="str">
        <f>IF(OR(AF6="",Seeds!$C$10=""),"",IF(ABS(AF6)&gt;Seeds!$C$10,"Có","Không"))</f>
        <v>Có</v>
      </c>
    </row>
    <row r="7" spans="1:33" ht="15" customHeight="1" x14ac:dyDescent="0.3">
      <c r="A7" s="13" t="s">
        <v>136</v>
      </c>
      <c r="B7" s="13" t="s">
        <v>29</v>
      </c>
      <c r="C7" s="13" t="s">
        <v>137</v>
      </c>
      <c r="D7" s="13" t="s">
        <v>116</v>
      </c>
      <c r="E7" s="13" t="s">
        <v>109</v>
      </c>
      <c r="F7" s="13">
        <v>1E-3</v>
      </c>
      <c r="G7" s="13">
        <v>0</v>
      </c>
      <c r="H7" s="13">
        <v>512</v>
      </c>
      <c r="I7" s="13">
        <v>20</v>
      </c>
      <c r="J7" s="13" t="s">
        <v>118</v>
      </c>
      <c r="K7" s="13">
        <v>0</v>
      </c>
      <c r="L7" s="13" t="s">
        <v>119</v>
      </c>
      <c r="M7" s="13" t="s">
        <v>120</v>
      </c>
      <c r="N7" s="13" t="s">
        <v>121</v>
      </c>
      <c r="O7" s="13">
        <v>1</v>
      </c>
      <c r="P7" s="14">
        <v>2.2690619999999999</v>
      </c>
      <c r="Q7" s="14">
        <v>0.24121999999999999</v>
      </c>
      <c r="R7" s="13">
        <v>20</v>
      </c>
      <c r="S7" s="14">
        <v>0.22034999999999999</v>
      </c>
      <c r="T7" s="14">
        <v>0.24121999999999999</v>
      </c>
      <c r="U7" s="14">
        <v>0.90262699999999996</v>
      </c>
      <c r="V7" s="14">
        <v>0.85037600000000002</v>
      </c>
      <c r="W7" s="13">
        <v>1.53</v>
      </c>
      <c r="X7" s="13">
        <v>175.5</v>
      </c>
      <c r="Y7" s="13" t="s">
        <v>110</v>
      </c>
      <c r="Z7" s="14"/>
      <c r="AA7" s="14"/>
      <c r="AB7" s="13" t="s">
        <v>138</v>
      </c>
      <c r="AC7" s="13" t="s">
        <v>282</v>
      </c>
      <c r="AD7" s="15">
        <f t="shared" si="0"/>
        <v>0.32315185094468668</v>
      </c>
      <c r="AE7" s="15">
        <f t="shared" si="1"/>
        <v>2.087E-2</v>
      </c>
      <c r="AF7" s="15">
        <f>IF(OR(V7="",Seeds!$C$8=""),"",V7-Seeds!$C$8)</f>
        <v>-7.7243333333333331E-3</v>
      </c>
      <c r="AG7" s="15" t="str">
        <f>IF(OR(AF7="",Seeds!$C$10=""),"",IF(ABS(AF7)&gt;Seeds!$C$10,"Có","Không"))</f>
        <v>Có</v>
      </c>
    </row>
    <row r="8" spans="1:33" ht="15" customHeight="1" x14ac:dyDescent="0.3">
      <c r="A8" s="13" t="s">
        <v>139</v>
      </c>
      <c r="B8" s="13" t="s">
        <v>29</v>
      </c>
      <c r="C8" s="13" t="s">
        <v>140</v>
      </c>
      <c r="D8" s="13" t="s">
        <v>116</v>
      </c>
      <c r="E8" s="13" t="s">
        <v>109</v>
      </c>
      <c r="F8" s="13">
        <v>3.0000000000000001E-3</v>
      </c>
      <c r="G8" s="13">
        <v>0</v>
      </c>
      <c r="H8" s="13">
        <v>512</v>
      </c>
      <c r="I8" s="13">
        <v>20</v>
      </c>
      <c r="J8" s="13" t="s">
        <v>118</v>
      </c>
      <c r="K8" s="13">
        <v>0</v>
      </c>
      <c r="L8" s="13" t="s">
        <v>119</v>
      </c>
      <c r="M8" s="13" t="s">
        <v>120</v>
      </c>
      <c r="N8" s="13" t="s">
        <v>121</v>
      </c>
      <c r="O8" s="13">
        <v>1</v>
      </c>
      <c r="P8" s="14">
        <v>2.2690619999999999</v>
      </c>
      <c r="Q8" s="14">
        <v>0.20918500000000001</v>
      </c>
      <c r="R8" s="13">
        <v>20</v>
      </c>
      <c r="S8" s="14">
        <v>0.18176500000000001</v>
      </c>
      <c r="T8" s="14">
        <v>0.20918500000000001</v>
      </c>
      <c r="U8" s="14">
        <v>0.91831099999999999</v>
      </c>
      <c r="V8" s="14">
        <v>0.88057200000000002</v>
      </c>
      <c r="W8" s="13">
        <v>1.56</v>
      </c>
      <c r="X8" s="13">
        <v>175.7</v>
      </c>
      <c r="Y8" s="13" t="s">
        <v>110</v>
      </c>
      <c r="Z8" s="14"/>
      <c r="AA8" s="14"/>
      <c r="AB8" s="13" t="s">
        <v>141</v>
      </c>
      <c r="AC8" s="13" t="s">
        <v>283</v>
      </c>
      <c r="AD8" s="15">
        <f t="shared" si="0"/>
        <v>0.32315185094468668</v>
      </c>
      <c r="AE8" s="15">
        <f t="shared" si="1"/>
        <v>2.742E-2</v>
      </c>
      <c r="AF8" s="15">
        <f>IF(OR(V8="",Seeds!$C$8=""),"",V8-Seeds!$C$8)</f>
        <v>2.2471666666666668E-2</v>
      </c>
      <c r="AG8" s="15" t="str">
        <f>IF(OR(AF8="",Seeds!$C$10=""),"",IF(ABS(AF8)&gt;Seeds!$C$10,"Có","Không"))</f>
        <v>Có</v>
      </c>
    </row>
    <row r="9" spans="1:33" ht="15" customHeight="1" x14ac:dyDescent="0.3">
      <c r="A9" s="13" t="s">
        <v>142</v>
      </c>
      <c r="B9" s="13" t="s">
        <v>29</v>
      </c>
      <c r="C9" s="13" t="s">
        <v>143</v>
      </c>
      <c r="D9" s="13" t="s">
        <v>116</v>
      </c>
      <c r="E9" s="13" t="s">
        <v>144</v>
      </c>
      <c r="F9" s="13">
        <v>2.9999999999999997E-4</v>
      </c>
      <c r="G9" s="13">
        <v>0.01</v>
      </c>
      <c r="H9" s="13">
        <v>512</v>
      </c>
      <c r="I9" s="13">
        <v>20</v>
      </c>
      <c r="J9" s="13" t="s">
        <v>118</v>
      </c>
      <c r="K9" s="13">
        <v>0</v>
      </c>
      <c r="L9" s="13" t="s">
        <v>119</v>
      </c>
      <c r="M9" s="13" t="s">
        <v>120</v>
      </c>
      <c r="N9" s="13" t="s">
        <v>121</v>
      </c>
      <c r="O9" s="13">
        <v>1</v>
      </c>
      <c r="P9" s="14">
        <v>2.2690619999999999</v>
      </c>
      <c r="Q9" s="14">
        <v>0.31256</v>
      </c>
      <c r="R9" s="13">
        <v>20</v>
      </c>
      <c r="S9" s="14">
        <v>0.30158600000000002</v>
      </c>
      <c r="T9" s="14">
        <v>0.31256</v>
      </c>
      <c r="U9" s="14">
        <v>0.87421700000000002</v>
      </c>
      <c r="V9" s="14">
        <v>0.79591999999999996</v>
      </c>
      <c r="W9" s="13">
        <v>1.63</v>
      </c>
      <c r="X9" s="13">
        <v>175.9</v>
      </c>
      <c r="Y9" s="13" t="s">
        <v>110</v>
      </c>
      <c r="Z9" s="14"/>
      <c r="AA9" s="14"/>
      <c r="AB9" s="13" t="s">
        <v>145</v>
      </c>
      <c r="AC9" s="13" t="s">
        <v>284</v>
      </c>
      <c r="AD9" s="15">
        <f t="shared" si="0"/>
        <v>0.32315185094468668</v>
      </c>
      <c r="AE9" s="15">
        <f t="shared" si="1"/>
        <v>1.0973999999999984E-2</v>
      </c>
      <c r="AF9" s="15">
        <f>IF(OR(V9="",Seeds!$C$8=""),"",V9-Seeds!$C$8)</f>
        <v>-6.2180333333333393E-2</v>
      </c>
      <c r="AG9" s="15" t="str">
        <f>IF(OR(AF9="",Seeds!$C$10=""),"",IF(ABS(AF9)&gt;Seeds!$C$10,"Có","Không"))</f>
        <v>Có</v>
      </c>
    </row>
    <row r="10" spans="1:33" ht="15" customHeight="1" x14ac:dyDescent="0.3">
      <c r="A10" s="13" t="s">
        <v>146</v>
      </c>
      <c r="B10" s="13" t="s">
        <v>29</v>
      </c>
      <c r="C10" s="13" t="s">
        <v>147</v>
      </c>
      <c r="D10" s="13" t="s">
        <v>116</v>
      </c>
      <c r="E10" s="13" t="s">
        <v>144</v>
      </c>
      <c r="F10" s="13">
        <v>1E-3</v>
      </c>
      <c r="G10" s="13">
        <v>0.01</v>
      </c>
      <c r="H10" s="13">
        <v>512</v>
      </c>
      <c r="I10" s="13">
        <v>20</v>
      </c>
      <c r="J10" s="13" t="s">
        <v>118</v>
      </c>
      <c r="K10" s="13">
        <v>0</v>
      </c>
      <c r="L10" s="13" t="s">
        <v>119</v>
      </c>
      <c r="M10" s="13" t="s">
        <v>120</v>
      </c>
      <c r="N10" s="13" t="s">
        <v>121</v>
      </c>
      <c r="O10" s="13">
        <v>1</v>
      </c>
      <c r="P10" s="14">
        <v>2.2690619999999999</v>
      </c>
      <c r="Q10" s="14">
        <v>0.24596399999999999</v>
      </c>
      <c r="R10" s="13">
        <v>20</v>
      </c>
      <c r="S10" s="14">
        <v>0.228186</v>
      </c>
      <c r="T10" s="14">
        <v>0.24596399999999999</v>
      </c>
      <c r="U10" s="14">
        <v>0.90181999999999995</v>
      </c>
      <c r="V10" s="14">
        <v>0.84715300000000004</v>
      </c>
      <c r="W10" s="13">
        <v>1.78</v>
      </c>
      <c r="X10" s="13">
        <v>176.1</v>
      </c>
      <c r="Y10" s="13" t="s">
        <v>110</v>
      </c>
      <c r="Z10" s="14"/>
      <c r="AA10" s="14"/>
      <c r="AB10" s="13" t="s">
        <v>148</v>
      </c>
      <c r="AC10" s="13" t="s">
        <v>285</v>
      </c>
      <c r="AD10" s="15">
        <f t="shared" si="0"/>
        <v>0.32315185094468668</v>
      </c>
      <c r="AE10" s="15">
        <f t="shared" si="1"/>
        <v>1.7777999999999988E-2</v>
      </c>
      <c r="AF10" s="15">
        <f>IF(OR(V10="",Seeds!$C$8=""),"",V10-Seeds!$C$8)</f>
        <v>-1.0947333333333309E-2</v>
      </c>
      <c r="AG10" s="15" t="str">
        <f>IF(OR(AF10="",Seeds!$C$10=""),"",IF(ABS(AF10)&gt;Seeds!$C$10,"Có","Không"))</f>
        <v>Có</v>
      </c>
    </row>
    <row r="11" spans="1:33" ht="15" customHeight="1" x14ac:dyDescent="0.3">
      <c r="A11" s="13" t="s">
        <v>149</v>
      </c>
      <c r="B11" s="13" t="s">
        <v>29</v>
      </c>
      <c r="C11" s="13" t="s">
        <v>150</v>
      </c>
      <c r="D11" s="13" t="s">
        <v>116</v>
      </c>
      <c r="E11" s="13" t="s">
        <v>144</v>
      </c>
      <c r="F11" s="13">
        <v>3.0000000000000001E-3</v>
      </c>
      <c r="G11" s="13">
        <v>0.01</v>
      </c>
      <c r="H11" s="13">
        <v>512</v>
      </c>
      <c r="I11" s="13">
        <v>20</v>
      </c>
      <c r="J11" s="13" t="s">
        <v>118</v>
      </c>
      <c r="K11" s="13">
        <v>0</v>
      </c>
      <c r="L11" s="13" t="s">
        <v>119</v>
      </c>
      <c r="M11" s="13" t="s">
        <v>120</v>
      </c>
      <c r="N11" s="13" t="s">
        <v>121</v>
      </c>
      <c r="O11" s="13">
        <v>1</v>
      </c>
      <c r="P11" s="14">
        <v>2.2690619999999999</v>
      </c>
      <c r="Q11" s="14">
        <v>0.21310599999999999</v>
      </c>
      <c r="R11" s="13">
        <v>20</v>
      </c>
      <c r="S11" s="14">
        <v>0.18842400000000001</v>
      </c>
      <c r="T11" s="14">
        <v>0.21310599999999999</v>
      </c>
      <c r="U11" s="14">
        <v>0.91480399999999995</v>
      </c>
      <c r="V11" s="14">
        <v>0.87212900000000004</v>
      </c>
      <c r="W11" s="13">
        <v>1.97</v>
      </c>
      <c r="X11" s="13">
        <v>176.2</v>
      </c>
      <c r="Y11" s="13" t="s">
        <v>110</v>
      </c>
      <c r="Z11" s="14"/>
      <c r="AA11" s="14"/>
      <c r="AB11" s="13" t="s">
        <v>151</v>
      </c>
      <c r="AC11" s="13" t="s">
        <v>286</v>
      </c>
      <c r="AD11" s="15">
        <f t="shared" si="0"/>
        <v>0.32315185094468668</v>
      </c>
      <c r="AE11" s="15">
        <f t="shared" si="1"/>
        <v>2.4681999999999982E-2</v>
      </c>
      <c r="AF11" s="15">
        <f>IF(OR(V11="",Seeds!$C$8=""),"",V11-Seeds!$C$8)</f>
        <v>1.4028666666666689E-2</v>
      </c>
      <c r="AG11" s="15" t="str">
        <f>IF(OR(AF11="",Seeds!$C$10=""),"",IF(ABS(AF11)&gt;Seeds!$C$10,"Có","Không"))</f>
        <v>Có</v>
      </c>
    </row>
    <row r="12" spans="1:33" ht="15" customHeight="1" x14ac:dyDescent="0.3">
      <c r="A12" s="13" t="s">
        <v>152</v>
      </c>
      <c r="B12" s="13" t="s">
        <v>29</v>
      </c>
      <c r="C12" s="13" t="s">
        <v>153</v>
      </c>
      <c r="D12" s="13" t="s">
        <v>116</v>
      </c>
      <c r="E12" s="13" t="s">
        <v>144</v>
      </c>
      <c r="F12" s="13">
        <v>1E-3</v>
      </c>
      <c r="G12" s="13">
        <v>0</v>
      </c>
      <c r="H12" s="13">
        <v>512</v>
      </c>
      <c r="I12" s="13">
        <v>20</v>
      </c>
      <c r="J12" s="13" t="s">
        <v>118</v>
      </c>
      <c r="K12" s="13">
        <v>0</v>
      </c>
      <c r="L12" s="13" t="s">
        <v>119</v>
      </c>
      <c r="M12" s="13" t="s">
        <v>120</v>
      </c>
      <c r="N12" s="13" t="s">
        <v>121</v>
      </c>
      <c r="O12" s="13">
        <v>1</v>
      </c>
      <c r="P12" s="14">
        <v>2.2690619999999999</v>
      </c>
      <c r="Q12" s="14">
        <v>0.24121999999999999</v>
      </c>
      <c r="R12" s="13">
        <v>20</v>
      </c>
      <c r="S12" s="14">
        <v>0.22034999999999999</v>
      </c>
      <c r="T12" s="14">
        <v>0.24121999999999999</v>
      </c>
      <c r="U12" s="14">
        <v>0.90262699999999996</v>
      </c>
      <c r="V12" s="14">
        <v>0.85037600000000002</v>
      </c>
      <c r="W12" s="13">
        <v>1.62</v>
      </c>
      <c r="X12" s="13">
        <v>176.4</v>
      </c>
      <c r="Y12" s="13" t="s">
        <v>110</v>
      </c>
      <c r="Z12" s="14"/>
      <c r="AA12" s="14"/>
      <c r="AB12" s="13" t="s">
        <v>154</v>
      </c>
      <c r="AC12" s="13" t="s">
        <v>287</v>
      </c>
      <c r="AD12" s="15">
        <f t="shared" si="0"/>
        <v>0.32315185094468668</v>
      </c>
      <c r="AE12" s="15">
        <f t="shared" si="1"/>
        <v>2.087E-2</v>
      </c>
      <c r="AF12" s="15">
        <f>IF(OR(V12="",Seeds!$C$8=""),"",V12-Seeds!$C$8)</f>
        <v>-7.7243333333333331E-3</v>
      </c>
      <c r="AG12" s="15" t="str">
        <f>IF(OR(AF12="",Seeds!$C$10=""),"",IF(ABS(AF12)&gt;Seeds!$C$10,"Có","Không"))</f>
        <v>Có</v>
      </c>
    </row>
    <row r="13" spans="1:33" ht="15" customHeight="1" x14ac:dyDescent="0.3">
      <c r="A13" s="13" t="s">
        <v>155</v>
      </c>
      <c r="B13" s="13" t="s">
        <v>29</v>
      </c>
      <c r="C13" s="13" t="s">
        <v>156</v>
      </c>
      <c r="D13" s="13" t="s">
        <v>116</v>
      </c>
      <c r="E13" s="13" t="s">
        <v>157</v>
      </c>
      <c r="F13" s="13">
        <v>0.01</v>
      </c>
      <c r="G13" s="13">
        <v>0</v>
      </c>
      <c r="H13" s="13">
        <v>512</v>
      </c>
      <c r="I13" s="13">
        <v>20</v>
      </c>
      <c r="J13" s="13" t="s">
        <v>118</v>
      </c>
      <c r="K13" s="13">
        <v>0</v>
      </c>
      <c r="L13" s="13" t="s">
        <v>119</v>
      </c>
      <c r="M13" s="13" t="s">
        <v>120</v>
      </c>
      <c r="N13" s="13" t="s">
        <v>121</v>
      </c>
      <c r="O13" s="13">
        <v>1</v>
      </c>
      <c r="P13" s="14">
        <v>2.2690619999999999</v>
      </c>
      <c r="Q13" s="14">
        <v>0.521285</v>
      </c>
      <c r="R13" s="13">
        <v>20</v>
      </c>
      <c r="S13" s="14">
        <v>0.51810199999999995</v>
      </c>
      <c r="T13" s="14">
        <v>0.521285</v>
      </c>
      <c r="U13" s="14">
        <v>0.78046899999999997</v>
      </c>
      <c r="V13" s="14">
        <v>0.59376600000000002</v>
      </c>
      <c r="W13" s="13">
        <v>1.62</v>
      </c>
      <c r="X13" s="13">
        <v>174.4</v>
      </c>
      <c r="Y13" s="13" t="s">
        <v>110</v>
      </c>
      <c r="Z13" s="14"/>
      <c r="AA13" s="14"/>
      <c r="AB13" s="13" t="s">
        <v>158</v>
      </c>
      <c r="AC13" s="13" t="s">
        <v>288</v>
      </c>
      <c r="AD13" s="15">
        <f t="shared" si="0"/>
        <v>0.32315185094468668</v>
      </c>
      <c r="AE13" s="15">
        <f t="shared" si="1"/>
        <v>3.1830000000000469E-3</v>
      </c>
      <c r="AF13" s="15">
        <f>IF(OR(V13="",Seeds!$C$8=""),"",V13-Seeds!$C$8)</f>
        <v>-0.26433433333333334</v>
      </c>
      <c r="AG13" s="15" t="str">
        <f>IF(OR(AF13="",Seeds!$C$10=""),"",IF(ABS(AF13)&gt;Seeds!$C$10,"Có","Không"))</f>
        <v>Có</v>
      </c>
    </row>
    <row r="14" spans="1:33" ht="15" customHeight="1" x14ac:dyDescent="0.3">
      <c r="A14" s="13" t="s">
        <v>159</v>
      </c>
      <c r="B14" s="13" t="s">
        <v>29</v>
      </c>
      <c r="C14" s="13" t="s">
        <v>160</v>
      </c>
      <c r="D14" s="13" t="s">
        <v>116</v>
      </c>
      <c r="E14" s="13" t="s">
        <v>157</v>
      </c>
      <c r="F14" s="13">
        <v>0.03</v>
      </c>
      <c r="G14" s="13">
        <v>0</v>
      </c>
      <c r="H14" s="13">
        <v>512</v>
      </c>
      <c r="I14" s="13">
        <v>20</v>
      </c>
      <c r="J14" s="13" t="s">
        <v>118</v>
      </c>
      <c r="K14" s="13">
        <v>0</v>
      </c>
      <c r="L14" s="13" t="s">
        <v>119</v>
      </c>
      <c r="M14" s="13" t="s">
        <v>120</v>
      </c>
      <c r="N14" s="13" t="s">
        <v>121</v>
      </c>
      <c r="O14" s="13">
        <v>1</v>
      </c>
      <c r="P14" s="14">
        <v>2.2690619999999999</v>
      </c>
      <c r="Q14" s="14">
        <v>0.430622</v>
      </c>
      <c r="R14" s="13">
        <v>20</v>
      </c>
      <c r="S14" s="14">
        <v>0.42443599999999998</v>
      </c>
      <c r="T14" s="14">
        <v>0.430622</v>
      </c>
      <c r="U14" s="14">
        <v>0.818496</v>
      </c>
      <c r="V14" s="14">
        <v>0.67942400000000003</v>
      </c>
      <c r="W14" s="13">
        <v>1.42</v>
      </c>
      <c r="X14" s="13">
        <v>174.6</v>
      </c>
      <c r="Y14" s="13" t="s">
        <v>110</v>
      </c>
      <c r="Z14" s="14"/>
      <c r="AA14" s="14"/>
      <c r="AB14" s="13" t="s">
        <v>161</v>
      </c>
      <c r="AC14" s="13" t="s">
        <v>289</v>
      </c>
      <c r="AD14" s="15">
        <f t="shared" si="0"/>
        <v>0.32315185094468668</v>
      </c>
      <c r="AE14" s="15">
        <f t="shared" si="1"/>
        <v>6.1860000000000248E-3</v>
      </c>
      <c r="AF14" s="15">
        <f>IF(OR(V14="",Seeds!$C$8=""),"",V14-Seeds!$C$8)</f>
        <v>-0.17867633333333333</v>
      </c>
      <c r="AG14" s="15" t="str">
        <f>IF(OR(AF14="",Seeds!$C$10=""),"",IF(ABS(AF14)&gt;Seeds!$C$10,"Có","Không"))</f>
        <v>Có</v>
      </c>
    </row>
    <row r="15" spans="1:33" ht="15" customHeight="1" x14ac:dyDescent="0.3">
      <c r="A15" s="13" t="s">
        <v>162</v>
      </c>
      <c r="B15" s="13" t="s">
        <v>29</v>
      </c>
      <c r="C15" s="13" t="s">
        <v>163</v>
      </c>
      <c r="D15" s="13" t="s">
        <v>116</v>
      </c>
      <c r="E15" s="13" t="s">
        <v>157</v>
      </c>
      <c r="F15" s="13">
        <v>0.1</v>
      </c>
      <c r="G15" s="13">
        <v>0</v>
      </c>
      <c r="H15" s="13">
        <v>512</v>
      </c>
      <c r="I15" s="13">
        <v>20</v>
      </c>
      <c r="J15" s="13" t="s">
        <v>118</v>
      </c>
      <c r="K15" s="13">
        <v>0</v>
      </c>
      <c r="L15" s="13" t="s">
        <v>119</v>
      </c>
      <c r="M15" s="13" t="s">
        <v>120</v>
      </c>
      <c r="N15" s="13" t="s">
        <v>121</v>
      </c>
      <c r="O15" s="13">
        <v>1</v>
      </c>
      <c r="P15" s="14">
        <v>2.2690619999999999</v>
      </c>
      <c r="Q15" s="14">
        <v>0.35628500000000002</v>
      </c>
      <c r="R15" s="13">
        <v>20</v>
      </c>
      <c r="S15" s="14">
        <v>0.34668199999999999</v>
      </c>
      <c r="T15" s="14">
        <v>0.35628500000000002</v>
      </c>
      <c r="U15" s="14">
        <v>0.85276799999999997</v>
      </c>
      <c r="V15" s="14">
        <v>0.76424300000000001</v>
      </c>
      <c r="W15" s="13">
        <v>1.47</v>
      </c>
      <c r="X15" s="13">
        <v>174.8</v>
      </c>
      <c r="Y15" s="13" t="s">
        <v>110</v>
      </c>
      <c r="Z15" s="14"/>
      <c r="AA15" s="14"/>
      <c r="AB15" s="13" t="s">
        <v>164</v>
      </c>
      <c r="AC15" s="13" t="s">
        <v>290</v>
      </c>
      <c r="AD15" s="15">
        <f t="shared" si="0"/>
        <v>0.32315185094468668</v>
      </c>
      <c r="AE15" s="15">
        <f t="shared" si="1"/>
        <v>9.6030000000000282E-3</v>
      </c>
      <c r="AF15" s="15">
        <f>IF(OR(V15="",Seeds!$C$8=""),"",V15-Seeds!$C$8)</f>
        <v>-9.3857333333333348E-2</v>
      </c>
      <c r="AG15" s="15" t="str">
        <f>IF(OR(AF15="",Seeds!$C$10=""),"",IF(ABS(AF15)&gt;Seeds!$C$10,"Có","Không"))</f>
        <v>Có</v>
      </c>
    </row>
    <row r="16" spans="1:33" ht="15" customHeight="1" x14ac:dyDescent="0.3">
      <c r="A16" s="13" t="s">
        <v>165</v>
      </c>
      <c r="B16" s="13" t="s">
        <v>29</v>
      </c>
      <c r="C16" s="13" t="s">
        <v>166</v>
      </c>
      <c r="D16" s="13" t="s">
        <v>116</v>
      </c>
      <c r="E16" s="13" t="s">
        <v>117</v>
      </c>
      <c r="F16" s="13">
        <v>0.01</v>
      </c>
      <c r="G16" s="13">
        <v>0</v>
      </c>
      <c r="H16" s="13">
        <v>512</v>
      </c>
      <c r="I16" s="13">
        <v>20</v>
      </c>
      <c r="J16" s="13" t="s">
        <v>118</v>
      </c>
      <c r="K16" s="13">
        <v>0</v>
      </c>
      <c r="L16" s="13" t="s">
        <v>119</v>
      </c>
      <c r="M16" s="13" t="s">
        <v>120</v>
      </c>
      <c r="N16" s="13" t="s">
        <v>121</v>
      </c>
      <c r="O16" s="13">
        <v>1</v>
      </c>
      <c r="P16" s="14">
        <v>2.2690619999999999</v>
      </c>
      <c r="Q16" s="14">
        <v>0.31810300000000002</v>
      </c>
      <c r="R16" s="13">
        <v>19</v>
      </c>
      <c r="S16" s="14">
        <v>0.30694900000000003</v>
      </c>
      <c r="T16" s="14">
        <v>0.31869700000000001</v>
      </c>
      <c r="U16" s="14">
        <v>0.87072099999999997</v>
      </c>
      <c r="V16" s="14">
        <v>0.76858899999999997</v>
      </c>
      <c r="W16" s="13">
        <v>1.72</v>
      </c>
      <c r="X16" s="13">
        <v>173.3</v>
      </c>
      <c r="Y16" s="13" t="s">
        <v>110</v>
      </c>
      <c r="Z16" s="14"/>
      <c r="AA16" s="14"/>
      <c r="AB16" s="13" t="s">
        <v>167</v>
      </c>
      <c r="AC16" s="13" t="s">
        <v>291</v>
      </c>
      <c r="AD16" s="15">
        <f t="shared" si="0"/>
        <v>0.32315185094468668</v>
      </c>
      <c r="AE16" s="15">
        <f t="shared" si="1"/>
        <v>1.1747999999999981E-2</v>
      </c>
      <c r="AF16" s="15">
        <f>IF(OR(V16="",Seeds!$C$8=""),"",V16-Seeds!$C$8)</f>
        <v>-8.9511333333333387E-2</v>
      </c>
      <c r="AG16" s="15" t="str">
        <f>IF(OR(AF16="",Seeds!$C$10=""),"",IF(ABS(AF16)&gt;Seeds!$C$10,"Có","Không"))</f>
        <v>Có</v>
      </c>
    </row>
    <row r="17" spans="1:33" ht="15" customHeight="1" x14ac:dyDescent="0.3">
      <c r="A17" s="13" t="s">
        <v>168</v>
      </c>
      <c r="B17" s="13" t="s">
        <v>29</v>
      </c>
      <c r="C17" s="13" t="s">
        <v>169</v>
      </c>
      <c r="D17" s="13" t="s">
        <v>116</v>
      </c>
      <c r="E17" s="13" t="s">
        <v>117</v>
      </c>
      <c r="F17" s="13">
        <v>0.03</v>
      </c>
      <c r="G17" s="13">
        <v>0</v>
      </c>
      <c r="H17" s="13">
        <v>512</v>
      </c>
      <c r="I17" s="13">
        <v>20</v>
      </c>
      <c r="J17" s="13" t="s">
        <v>118</v>
      </c>
      <c r="K17" s="13">
        <v>0</v>
      </c>
      <c r="L17" s="13" t="s">
        <v>119</v>
      </c>
      <c r="M17" s="13" t="s">
        <v>120</v>
      </c>
      <c r="N17" s="13" t="s">
        <v>121</v>
      </c>
      <c r="O17" s="13">
        <v>1</v>
      </c>
      <c r="P17" s="14">
        <v>2.2690619999999999</v>
      </c>
      <c r="Q17" s="14">
        <v>0.26339400000000002</v>
      </c>
      <c r="R17" s="13">
        <v>19</v>
      </c>
      <c r="S17" s="14">
        <v>0.25028</v>
      </c>
      <c r="T17" s="14">
        <v>0.26682600000000001</v>
      </c>
      <c r="U17" s="14">
        <v>0.89432199999999995</v>
      </c>
      <c r="V17" s="14">
        <v>0.82503800000000005</v>
      </c>
      <c r="W17" s="13">
        <v>1.65</v>
      </c>
      <c r="X17" s="13">
        <v>173.5</v>
      </c>
      <c r="Y17" s="13" t="s">
        <v>110</v>
      </c>
      <c r="Z17" s="14"/>
      <c r="AA17" s="14"/>
      <c r="AB17" s="13" t="s">
        <v>170</v>
      </c>
      <c r="AC17" s="13" t="s">
        <v>292</v>
      </c>
      <c r="AD17" s="15">
        <f t="shared" si="0"/>
        <v>0.32315185094468668</v>
      </c>
      <c r="AE17" s="15">
        <f t="shared" si="1"/>
        <v>1.6546000000000005E-2</v>
      </c>
      <c r="AF17" s="15">
        <f>IF(OR(V17="",Seeds!$C$8=""),"",V17-Seeds!$C$8)</f>
        <v>-3.3062333333333305E-2</v>
      </c>
      <c r="AG17" s="15" t="str">
        <f>IF(OR(AF17="",Seeds!$C$10=""),"",IF(ABS(AF17)&gt;Seeds!$C$10,"Có","Không"))</f>
        <v>Có</v>
      </c>
    </row>
    <row r="18" spans="1:33" ht="15" customHeight="1" x14ac:dyDescent="0.3">
      <c r="A18" s="13" t="s">
        <v>171</v>
      </c>
      <c r="B18" s="13" t="s">
        <v>29</v>
      </c>
      <c r="C18" s="13" t="s">
        <v>172</v>
      </c>
      <c r="D18" s="13" t="s">
        <v>116</v>
      </c>
      <c r="E18" s="13" t="s">
        <v>117</v>
      </c>
      <c r="F18" s="13">
        <v>0.1</v>
      </c>
      <c r="G18" s="13">
        <v>0</v>
      </c>
      <c r="H18" s="13">
        <v>512</v>
      </c>
      <c r="I18" s="13">
        <v>20</v>
      </c>
      <c r="J18" s="13" t="s">
        <v>118</v>
      </c>
      <c r="K18" s="13">
        <v>0</v>
      </c>
      <c r="L18" s="13" t="s">
        <v>119</v>
      </c>
      <c r="M18" s="13" t="s">
        <v>120</v>
      </c>
      <c r="N18" s="13" t="s">
        <v>121</v>
      </c>
      <c r="O18" s="13">
        <v>1</v>
      </c>
      <c r="P18" s="14">
        <v>2.2690619999999999</v>
      </c>
      <c r="Q18" s="14">
        <v>0.23269799999999999</v>
      </c>
      <c r="R18" s="13">
        <v>19</v>
      </c>
      <c r="S18" s="14">
        <v>0.216029</v>
      </c>
      <c r="T18" s="14">
        <v>0.237764</v>
      </c>
      <c r="U18" s="14">
        <v>0.90705899999999995</v>
      </c>
      <c r="V18" s="14">
        <v>0.85749299999999995</v>
      </c>
      <c r="W18" s="13">
        <v>1.44</v>
      </c>
      <c r="X18" s="13">
        <v>173.7</v>
      </c>
      <c r="Y18" s="13" t="s">
        <v>110</v>
      </c>
      <c r="Z18" s="14"/>
      <c r="AA18" s="14"/>
      <c r="AB18" s="13" t="s">
        <v>173</v>
      </c>
      <c r="AC18" s="13" t="s">
        <v>293</v>
      </c>
      <c r="AD18" s="15">
        <f t="shared" si="0"/>
        <v>0.32315185094468668</v>
      </c>
      <c r="AE18" s="15">
        <f t="shared" si="1"/>
        <v>2.1735000000000004E-2</v>
      </c>
      <c r="AF18" s="15">
        <f>IF(OR(V18="",Seeds!$C$8=""),"",V18-Seeds!$C$8)</f>
        <v>-6.0733333333340411E-4</v>
      </c>
      <c r="AG18" s="15" t="str">
        <f>IF(OR(AF18="",Seeds!$C$10=""),"",IF(ABS(AF18)&gt;Seeds!$C$10,"Có","Không"))</f>
        <v>Không</v>
      </c>
    </row>
    <row r="19" spans="1:33" ht="15" customHeight="1" x14ac:dyDescent="0.3">
      <c r="A19" s="13" t="s">
        <v>174</v>
      </c>
      <c r="B19" s="13" t="s">
        <v>175</v>
      </c>
      <c r="C19" s="13" t="s">
        <v>176</v>
      </c>
      <c r="D19" s="13" t="s">
        <v>116</v>
      </c>
      <c r="E19" s="13" t="s">
        <v>117</v>
      </c>
      <c r="F19" s="13">
        <v>0.1</v>
      </c>
      <c r="G19" s="13">
        <v>0</v>
      </c>
      <c r="H19" s="13">
        <v>512</v>
      </c>
      <c r="I19" s="13">
        <v>20</v>
      </c>
      <c r="J19" s="13" t="s">
        <v>177</v>
      </c>
      <c r="K19" s="13">
        <v>0</v>
      </c>
      <c r="L19" s="13" t="s">
        <v>119</v>
      </c>
      <c r="M19" s="13" t="s">
        <v>120</v>
      </c>
      <c r="N19" s="13" t="s">
        <v>121</v>
      </c>
      <c r="O19" s="13">
        <v>1</v>
      </c>
      <c r="P19" s="14">
        <v>1.909942</v>
      </c>
      <c r="Q19" s="14">
        <v>0.20146700000000001</v>
      </c>
      <c r="R19" s="13">
        <v>20</v>
      </c>
      <c r="S19" s="14">
        <v>0.17404500000000001</v>
      </c>
      <c r="T19" s="14">
        <v>0.20146700000000001</v>
      </c>
      <c r="U19" s="14">
        <v>0.91975200000000001</v>
      </c>
      <c r="V19" s="14">
        <v>0.873305</v>
      </c>
      <c r="W19" s="13">
        <v>1.69</v>
      </c>
      <c r="X19" s="13">
        <v>177.9</v>
      </c>
      <c r="Y19" s="13" t="s">
        <v>110</v>
      </c>
      <c r="Z19" s="14"/>
      <c r="AA19" s="14"/>
      <c r="AB19" s="13" t="s">
        <v>178</v>
      </c>
      <c r="AC19" s="13" t="s">
        <v>294</v>
      </c>
      <c r="AD19" s="15">
        <f t="shared" si="0"/>
        <v>-3.5968149055313203E-2</v>
      </c>
      <c r="AE19" s="15">
        <f t="shared" si="1"/>
        <v>2.7422000000000002E-2</v>
      </c>
      <c r="AF19" s="15">
        <f>IF(OR(V19="",Seeds!$C$8=""),"",V19-Seeds!$C$8)</f>
        <v>1.5204666666666644E-2</v>
      </c>
      <c r="AG19" s="15" t="str">
        <f>IF(OR(AF19="",Seeds!$C$10=""),"",IF(ABS(AF19)&gt;Seeds!$C$10,"Có","Không"))</f>
        <v>Có</v>
      </c>
    </row>
    <row r="20" spans="1:33" ht="15" customHeight="1" x14ac:dyDescent="0.3">
      <c r="A20" s="13" t="s">
        <v>179</v>
      </c>
      <c r="B20" s="13" t="s">
        <v>175</v>
      </c>
      <c r="C20" s="13" t="s">
        <v>180</v>
      </c>
      <c r="D20" s="13" t="s">
        <v>116</v>
      </c>
      <c r="E20" s="13" t="s">
        <v>117</v>
      </c>
      <c r="F20" s="13">
        <v>0.1</v>
      </c>
      <c r="G20" s="13">
        <v>0</v>
      </c>
      <c r="H20" s="13">
        <v>512</v>
      </c>
      <c r="I20" s="13">
        <v>20</v>
      </c>
      <c r="J20" s="13" t="s">
        <v>181</v>
      </c>
      <c r="K20" s="13">
        <v>0</v>
      </c>
      <c r="L20" s="13" t="s">
        <v>119</v>
      </c>
      <c r="M20" s="13" t="s">
        <v>120</v>
      </c>
      <c r="N20" s="13" t="s">
        <v>121</v>
      </c>
      <c r="O20" s="13">
        <v>1</v>
      </c>
      <c r="P20" s="14">
        <v>1.9182170000000001</v>
      </c>
      <c r="Q20" s="14">
        <v>0.20417399999999999</v>
      </c>
      <c r="R20" s="13">
        <v>20</v>
      </c>
      <c r="S20" s="14">
        <v>0.17414099999999999</v>
      </c>
      <c r="T20" s="14">
        <v>0.20417399999999999</v>
      </c>
      <c r="U20" s="14">
        <v>0.92035500000000003</v>
      </c>
      <c r="V20" s="14">
        <v>0.87782800000000005</v>
      </c>
      <c r="W20" s="13">
        <v>1.41</v>
      </c>
      <c r="X20" s="13">
        <v>194.9</v>
      </c>
      <c r="Y20" s="13" t="s">
        <v>110</v>
      </c>
      <c r="Z20" s="14"/>
      <c r="AA20" s="14"/>
      <c r="AB20" s="13" t="s">
        <v>182</v>
      </c>
      <c r="AC20" s="13" t="s">
        <v>295</v>
      </c>
      <c r="AD20" s="15">
        <f t="shared" si="0"/>
        <v>-2.7693149055313171E-2</v>
      </c>
      <c r="AE20" s="15">
        <f t="shared" si="1"/>
        <v>3.0033000000000004E-2</v>
      </c>
      <c r="AF20" s="15">
        <f>IF(OR(V20="",Seeds!$C$8=""),"",V20-Seeds!$C$8)</f>
        <v>1.9727666666666699E-2</v>
      </c>
      <c r="AG20" s="15" t="str">
        <f>IF(OR(AF20="",Seeds!$C$10=""),"",IF(ABS(AF20)&gt;Seeds!$C$10,"Có","Không"))</f>
        <v>Có</v>
      </c>
    </row>
    <row r="21" spans="1:33" ht="15" customHeight="1" x14ac:dyDescent="0.3">
      <c r="A21" s="13" t="s">
        <v>183</v>
      </c>
      <c r="B21" s="13" t="s">
        <v>175</v>
      </c>
      <c r="C21" s="13" t="s">
        <v>184</v>
      </c>
      <c r="D21" s="13" t="s">
        <v>116</v>
      </c>
      <c r="E21" s="13" t="s">
        <v>117</v>
      </c>
      <c r="F21" s="13">
        <v>0.1</v>
      </c>
      <c r="G21" s="13">
        <v>0</v>
      </c>
      <c r="H21" s="13">
        <v>128</v>
      </c>
      <c r="I21" s="13">
        <v>20</v>
      </c>
      <c r="J21" s="13" t="s">
        <v>118</v>
      </c>
      <c r="K21" s="13">
        <v>0</v>
      </c>
      <c r="L21" s="13" t="s">
        <v>119</v>
      </c>
      <c r="M21" s="13" t="s">
        <v>120</v>
      </c>
      <c r="N21" s="13" t="s">
        <v>121</v>
      </c>
      <c r="O21" s="13">
        <v>1</v>
      </c>
      <c r="P21" s="14">
        <v>2.2690619999999999</v>
      </c>
      <c r="Q21" s="14">
        <v>0.21913299999999999</v>
      </c>
      <c r="R21" s="13">
        <v>20</v>
      </c>
      <c r="S21" s="14">
        <v>0.192495</v>
      </c>
      <c r="T21" s="14">
        <v>0.21913299999999999</v>
      </c>
      <c r="U21" s="14">
        <v>0.91349199999999997</v>
      </c>
      <c r="V21" s="14">
        <v>0.86088100000000001</v>
      </c>
      <c r="W21" s="13">
        <v>8.06</v>
      </c>
      <c r="X21" s="13">
        <v>176.4</v>
      </c>
      <c r="Y21" s="13" t="s">
        <v>110</v>
      </c>
      <c r="Z21" s="14"/>
      <c r="AA21" s="14"/>
      <c r="AB21" s="13" t="s">
        <v>185</v>
      </c>
      <c r="AC21" s="13" t="s">
        <v>296</v>
      </c>
      <c r="AD21" s="15">
        <f t="shared" si="0"/>
        <v>0.32315185094468668</v>
      </c>
      <c r="AE21" s="15">
        <f t="shared" si="1"/>
        <v>2.6637999999999995E-2</v>
      </c>
      <c r="AF21" s="15">
        <f>IF(OR(V21="",Seeds!$C$8=""),"",V21-Seeds!$C$8)</f>
        <v>2.7806666666666535E-3</v>
      </c>
      <c r="AG21" s="15" t="str">
        <f>IF(OR(AF21="",Seeds!$C$10=""),"",IF(ABS(AF21)&gt;Seeds!$C$10,"Có","Không"))</f>
        <v>Không</v>
      </c>
    </row>
    <row r="22" spans="1:33" ht="15" customHeight="1" x14ac:dyDescent="0.3">
      <c r="A22" s="13" t="s">
        <v>186</v>
      </c>
      <c r="B22" s="13" t="s">
        <v>175</v>
      </c>
      <c r="C22" s="13" t="s">
        <v>187</v>
      </c>
      <c r="D22" s="13" t="s">
        <v>116</v>
      </c>
      <c r="E22" s="13" t="s">
        <v>117</v>
      </c>
      <c r="F22" s="13">
        <v>0.1</v>
      </c>
      <c r="G22" s="13">
        <v>0</v>
      </c>
      <c r="H22" s="13">
        <v>2048</v>
      </c>
      <c r="I22" s="13">
        <v>20</v>
      </c>
      <c r="J22" s="13" t="s">
        <v>118</v>
      </c>
      <c r="K22" s="13">
        <v>0</v>
      </c>
      <c r="L22" s="13" t="s">
        <v>119</v>
      </c>
      <c r="M22" s="13" t="s">
        <v>120</v>
      </c>
      <c r="N22" s="13" t="s">
        <v>121</v>
      </c>
      <c r="O22" s="13">
        <v>1</v>
      </c>
      <c r="P22" s="14">
        <v>2.2690619999999999</v>
      </c>
      <c r="Q22" s="14">
        <v>0.27726299999999998</v>
      </c>
      <c r="R22" s="13">
        <v>20</v>
      </c>
      <c r="S22" s="14">
        <v>0.264179</v>
      </c>
      <c r="T22" s="14">
        <v>0.27726299999999998</v>
      </c>
      <c r="U22" s="14">
        <v>0.88705100000000003</v>
      </c>
      <c r="V22" s="14">
        <v>0.81868799999999997</v>
      </c>
      <c r="W22" s="13">
        <v>0.38</v>
      </c>
      <c r="X22" s="13">
        <v>176.9</v>
      </c>
      <c r="Y22" s="13" t="s">
        <v>110</v>
      </c>
      <c r="Z22" s="14"/>
      <c r="AA22" s="14"/>
      <c r="AB22" s="13" t="s">
        <v>188</v>
      </c>
      <c r="AC22" s="13" t="s">
        <v>297</v>
      </c>
      <c r="AD22" s="15">
        <f t="shared" si="0"/>
        <v>0.32315185094468668</v>
      </c>
      <c r="AE22" s="15">
        <f t="shared" si="1"/>
        <v>1.3083999999999985E-2</v>
      </c>
      <c r="AF22" s="15">
        <f>IF(OR(V22="",Seeds!$C$8=""),"",V22-Seeds!$C$8)</f>
        <v>-3.9412333333333383E-2</v>
      </c>
      <c r="AG22" s="15" t="str">
        <f>IF(OR(AF22="",Seeds!$C$10=""),"",IF(ABS(AF22)&gt;Seeds!$C$10,"Có","Không"))</f>
        <v>Có</v>
      </c>
    </row>
    <row r="23" spans="1:33" ht="15" customHeight="1" x14ac:dyDescent="0.3">
      <c r="A23" s="13" t="s">
        <v>189</v>
      </c>
      <c r="B23" s="13" t="s">
        <v>175</v>
      </c>
      <c r="C23" s="13" t="s">
        <v>190</v>
      </c>
      <c r="D23" s="13" t="s">
        <v>116</v>
      </c>
      <c r="E23" s="13" t="s">
        <v>117</v>
      </c>
      <c r="F23" s="13">
        <v>0.1</v>
      </c>
      <c r="G23" s="13">
        <v>0</v>
      </c>
      <c r="H23" s="13">
        <v>512</v>
      </c>
      <c r="I23" s="13">
        <v>20</v>
      </c>
      <c r="J23" s="13" t="s">
        <v>118</v>
      </c>
      <c r="K23" s="13">
        <v>0</v>
      </c>
      <c r="L23" s="13" t="s">
        <v>119</v>
      </c>
      <c r="M23" s="13" t="s">
        <v>120</v>
      </c>
      <c r="N23" s="13" t="s">
        <v>121</v>
      </c>
      <c r="O23" s="13">
        <v>1</v>
      </c>
      <c r="P23" s="14">
        <v>2.2690619999999999</v>
      </c>
      <c r="Q23" s="14">
        <v>0.20155999999999999</v>
      </c>
      <c r="R23" s="13">
        <v>20</v>
      </c>
      <c r="S23" s="14">
        <v>0.17722299999999999</v>
      </c>
      <c r="T23" s="14">
        <v>0.20155999999999999</v>
      </c>
      <c r="U23" s="14">
        <v>0.92084900000000003</v>
      </c>
      <c r="V23" s="14">
        <v>0.86599000000000004</v>
      </c>
      <c r="W23" s="13">
        <v>1.51</v>
      </c>
      <c r="X23" s="13">
        <v>177</v>
      </c>
      <c r="Y23" s="13" t="s">
        <v>110</v>
      </c>
      <c r="Z23" s="14"/>
      <c r="AA23" s="14"/>
      <c r="AB23" s="13" t="s">
        <v>191</v>
      </c>
      <c r="AC23" s="13" t="s">
        <v>298</v>
      </c>
      <c r="AD23" s="15">
        <f t="shared" si="0"/>
        <v>0.32315185094468668</v>
      </c>
      <c r="AE23" s="15">
        <f t="shared" si="1"/>
        <v>2.4336999999999998E-2</v>
      </c>
      <c r="AF23" s="15">
        <f>IF(OR(V23="",Seeds!$C$8=""),"",V23-Seeds!$C$8)</f>
        <v>7.8896666666666837E-3</v>
      </c>
      <c r="AG23" s="15" t="str">
        <f>IF(OR(AF23="",Seeds!$C$10=""),"",IF(ABS(AF23)&gt;Seeds!$C$10,"Có","Không"))</f>
        <v>Có</v>
      </c>
    </row>
    <row r="24" spans="1:33" ht="15" customHeight="1" x14ac:dyDescent="0.3">
      <c r="A24" s="13" t="s">
        <v>192</v>
      </c>
      <c r="B24" s="13" t="s">
        <v>175</v>
      </c>
      <c r="C24" s="13" t="s">
        <v>193</v>
      </c>
      <c r="D24" s="13" t="s">
        <v>116</v>
      </c>
      <c r="E24" s="13" t="s">
        <v>117</v>
      </c>
      <c r="F24" s="13">
        <v>0.1</v>
      </c>
      <c r="G24" s="13">
        <v>0</v>
      </c>
      <c r="H24" s="13">
        <v>512</v>
      </c>
      <c r="I24" s="13">
        <v>60</v>
      </c>
      <c r="J24" s="13" t="s">
        <v>118</v>
      </c>
      <c r="K24" s="13">
        <v>0</v>
      </c>
      <c r="L24" s="13" t="s">
        <v>119</v>
      </c>
      <c r="M24" s="13" t="s">
        <v>120</v>
      </c>
      <c r="N24" s="13" t="s">
        <v>121</v>
      </c>
      <c r="O24" s="13">
        <v>1</v>
      </c>
      <c r="P24" s="14">
        <v>2.2690619999999999</v>
      </c>
      <c r="Q24" s="14">
        <v>0.18265600000000001</v>
      </c>
      <c r="R24" s="13">
        <v>57</v>
      </c>
      <c r="S24" s="14">
        <v>0.15295</v>
      </c>
      <c r="T24" s="14">
        <v>0.19525400000000001</v>
      </c>
      <c r="U24" s="14">
        <v>0.93018699999999999</v>
      </c>
      <c r="V24" s="14">
        <v>0.88632299999999997</v>
      </c>
      <c r="W24" s="13">
        <v>1.36</v>
      </c>
      <c r="X24" s="13">
        <v>178</v>
      </c>
      <c r="Y24" s="13" t="s">
        <v>110</v>
      </c>
      <c r="Z24" s="14"/>
      <c r="AA24" s="14"/>
      <c r="AB24" s="13" t="s">
        <v>194</v>
      </c>
      <c r="AC24" s="13" t="s">
        <v>299</v>
      </c>
      <c r="AD24" s="15">
        <f t="shared" si="0"/>
        <v>0.32315185094468668</v>
      </c>
      <c r="AE24" s="15">
        <f t="shared" si="1"/>
        <v>4.2304000000000008E-2</v>
      </c>
      <c r="AF24" s="15">
        <f>IF(OR(V24="",Seeds!$C$8=""),"",V24-Seeds!$C$8)</f>
        <v>2.8222666666666618E-2</v>
      </c>
      <c r="AG24" s="15" t="str">
        <f>IF(OR(AF24="",Seeds!$C$10=""),"",IF(ABS(AF24)&gt;Seeds!$C$10,"Có","Không"))</f>
        <v>Có</v>
      </c>
    </row>
    <row r="25" spans="1:33" ht="15" customHeight="1" x14ac:dyDescent="0.3">
      <c r="A25" s="13" t="s">
        <v>195</v>
      </c>
      <c r="B25" s="13" t="s">
        <v>175</v>
      </c>
      <c r="C25" s="13" t="s">
        <v>196</v>
      </c>
      <c r="D25" s="13" t="s">
        <v>116</v>
      </c>
      <c r="E25" s="13" t="s">
        <v>117</v>
      </c>
      <c r="F25" s="13">
        <v>0.1</v>
      </c>
      <c r="G25" s="13">
        <v>1E-4</v>
      </c>
      <c r="H25" s="13">
        <v>512</v>
      </c>
      <c r="I25" s="13">
        <v>20</v>
      </c>
      <c r="J25" s="13" t="s">
        <v>118</v>
      </c>
      <c r="K25" s="13">
        <v>0</v>
      </c>
      <c r="L25" s="13" t="s">
        <v>119</v>
      </c>
      <c r="M25" s="13" t="s">
        <v>120</v>
      </c>
      <c r="N25" s="13" t="s">
        <v>121</v>
      </c>
      <c r="O25" s="13">
        <v>1</v>
      </c>
      <c r="P25" s="14">
        <v>2.2690619999999999</v>
      </c>
      <c r="Q25" s="14">
        <v>0.26436300000000001</v>
      </c>
      <c r="R25" s="13">
        <v>19</v>
      </c>
      <c r="S25" s="14">
        <v>0.25186799999999998</v>
      </c>
      <c r="T25" s="14">
        <v>0.26628000000000002</v>
      </c>
      <c r="U25" s="14">
        <v>0.89496799999999999</v>
      </c>
      <c r="V25" s="14">
        <v>0.83671499999999999</v>
      </c>
      <c r="W25" s="13">
        <v>1.45</v>
      </c>
      <c r="X25" s="13">
        <v>176.8</v>
      </c>
      <c r="Y25" s="13" t="s">
        <v>110</v>
      </c>
      <c r="Z25" s="14"/>
      <c r="AA25" s="14"/>
      <c r="AB25" s="13" t="s">
        <v>197</v>
      </c>
      <c r="AC25" s="13" t="s">
        <v>300</v>
      </c>
      <c r="AD25" s="15">
        <f t="shared" si="0"/>
        <v>0.32315185094468668</v>
      </c>
      <c r="AE25" s="15">
        <f t="shared" si="1"/>
        <v>1.4412000000000036E-2</v>
      </c>
      <c r="AF25" s="15">
        <f>IF(OR(V25="",Seeds!$C$8=""),"",V25-Seeds!$C$8)</f>
        <v>-2.1385333333333367E-2</v>
      </c>
      <c r="AG25" s="15" t="str">
        <f>IF(OR(AF25="",Seeds!$C$10=""),"",IF(ABS(AF25)&gt;Seeds!$C$10,"Có","Không"))</f>
        <v>Có</v>
      </c>
    </row>
    <row r="26" spans="1:33" ht="15" customHeight="1" x14ac:dyDescent="0.3">
      <c r="A26" s="13" t="s">
        <v>198</v>
      </c>
      <c r="B26" s="13" t="s">
        <v>46</v>
      </c>
      <c r="C26" s="13" t="s">
        <v>199</v>
      </c>
      <c r="D26" s="13" t="s">
        <v>116</v>
      </c>
      <c r="E26" s="13" t="s">
        <v>117</v>
      </c>
      <c r="F26" s="13">
        <v>0.1</v>
      </c>
      <c r="G26" s="13">
        <v>0</v>
      </c>
      <c r="H26" s="13">
        <v>512</v>
      </c>
      <c r="I26" s="13">
        <v>20</v>
      </c>
      <c r="J26" s="13" t="s">
        <v>118</v>
      </c>
      <c r="K26" s="13">
        <v>0.1</v>
      </c>
      <c r="L26" s="13" t="s">
        <v>119</v>
      </c>
      <c r="M26" s="13" t="s">
        <v>120</v>
      </c>
      <c r="N26" s="13" t="s">
        <v>121</v>
      </c>
      <c r="O26" s="13">
        <v>1</v>
      </c>
      <c r="P26" s="14">
        <v>2.2690619999999999</v>
      </c>
      <c r="Q26" s="14">
        <v>0.246809</v>
      </c>
      <c r="R26" s="13">
        <v>20</v>
      </c>
      <c r="S26" s="14">
        <v>0.23511499999999999</v>
      </c>
      <c r="T26" s="14">
        <v>0.246809</v>
      </c>
      <c r="U26" s="14">
        <v>0.90123900000000001</v>
      </c>
      <c r="V26" s="14">
        <v>0.84521000000000002</v>
      </c>
      <c r="W26" s="13">
        <v>1.73</v>
      </c>
      <c r="X26" s="13">
        <v>178.2</v>
      </c>
      <c r="Y26" s="13" t="s">
        <v>110</v>
      </c>
      <c r="Z26" s="14"/>
      <c r="AA26" s="14"/>
      <c r="AB26" s="13" t="s">
        <v>200</v>
      </c>
      <c r="AC26" s="13" t="s">
        <v>301</v>
      </c>
      <c r="AD26" s="15">
        <f t="shared" si="0"/>
        <v>0.32315185094468668</v>
      </c>
      <c r="AE26" s="15">
        <f t="shared" si="1"/>
        <v>1.169400000000001E-2</v>
      </c>
      <c r="AF26" s="15">
        <f>IF(OR(V26="",Seeds!$C$8=""),"",V26-Seeds!$C$8)</f>
        <v>-1.2890333333333337E-2</v>
      </c>
      <c r="AG26" s="15" t="str">
        <f>IF(OR(AF26="",Seeds!$C$10=""),"",IF(ABS(AF26)&gt;Seeds!$C$10,"Có","Không"))</f>
        <v>Có</v>
      </c>
    </row>
    <row r="27" spans="1:33" ht="15" customHeight="1" x14ac:dyDescent="0.3">
      <c r="A27" s="13" t="s">
        <v>201</v>
      </c>
      <c r="B27" s="13" t="s">
        <v>46</v>
      </c>
      <c r="C27" s="13" t="s">
        <v>202</v>
      </c>
      <c r="D27" s="13" t="s">
        <v>116</v>
      </c>
      <c r="E27" s="13" t="s">
        <v>117</v>
      </c>
      <c r="F27" s="13">
        <v>0.1</v>
      </c>
      <c r="G27" s="13">
        <v>0</v>
      </c>
      <c r="H27" s="13">
        <v>512</v>
      </c>
      <c r="I27" s="13">
        <v>20</v>
      </c>
      <c r="J27" s="13" t="s">
        <v>118</v>
      </c>
      <c r="K27" s="13">
        <v>0.2</v>
      </c>
      <c r="L27" s="13" t="s">
        <v>119</v>
      </c>
      <c r="M27" s="13" t="s">
        <v>120</v>
      </c>
      <c r="N27" s="13" t="s">
        <v>121</v>
      </c>
      <c r="O27" s="13">
        <v>1</v>
      </c>
      <c r="P27" s="14">
        <v>2.2690619999999999</v>
      </c>
      <c r="Q27" s="14">
        <v>0.27881600000000001</v>
      </c>
      <c r="R27" s="13">
        <v>20</v>
      </c>
      <c r="S27" s="14">
        <v>0.270424</v>
      </c>
      <c r="T27" s="14">
        <v>0.27881600000000001</v>
      </c>
      <c r="U27" s="14">
        <v>0.888266</v>
      </c>
      <c r="V27" s="14">
        <v>0.816631</v>
      </c>
      <c r="W27" s="13">
        <v>1.83</v>
      </c>
      <c r="X27" s="13">
        <v>178.4</v>
      </c>
      <c r="Y27" s="13" t="s">
        <v>110</v>
      </c>
      <c r="Z27" s="14"/>
      <c r="AA27" s="14"/>
      <c r="AB27" s="13" t="s">
        <v>203</v>
      </c>
      <c r="AC27" s="13" t="s">
        <v>302</v>
      </c>
      <c r="AD27" s="15">
        <f t="shared" si="0"/>
        <v>0.32315185094468668</v>
      </c>
      <c r="AE27" s="15">
        <f t="shared" si="1"/>
        <v>8.3920000000000106E-3</v>
      </c>
      <c r="AF27" s="15">
        <f>IF(OR(V27="",Seeds!$C$8=""),"",V27-Seeds!$C$8)</f>
        <v>-4.1469333333333358E-2</v>
      </c>
      <c r="AG27" s="15" t="str">
        <f>IF(OR(AF27="",Seeds!$C$10=""),"",IF(ABS(AF27)&gt;Seeds!$C$10,"Có","Không"))</f>
        <v>Có</v>
      </c>
    </row>
    <row r="28" spans="1:33" ht="15" customHeight="1" x14ac:dyDescent="0.3">
      <c r="A28" s="13" t="s">
        <v>204</v>
      </c>
      <c r="B28" s="13" t="s">
        <v>46</v>
      </c>
      <c r="C28" s="13" t="s">
        <v>205</v>
      </c>
      <c r="D28" s="13" t="s">
        <v>116</v>
      </c>
      <c r="E28" s="13" t="s">
        <v>117</v>
      </c>
      <c r="F28" s="13">
        <v>0.1</v>
      </c>
      <c r="G28" s="13">
        <v>0</v>
      </c>
      <c r="H28" s="13">
        <v>512</v>
      </c>
      <c r="I28" s="13">
        <v>20</v>
      </c>
      <c r="J28" s="13" t="s">
        <v>118</v>
      </c>
      <c r="K28" s="13">
        <v>0.5</v>
      </c>
      <c r="L28" s="13" t="s">
        <v>119</v>
      </c>
      <c r="M28" s="13" t="s">
        <v>120</v>
      </c>
      <c r="N28" s="13" t="s">
        <v>121</v>
      </c>
      <c r="O28" s="13">
        <v>1</v>
      </c>
      <c r="P28" s="14">
        <v>2.2690619999999999</v>
      </c>
      <c r="Q28" s="14">
        <v>0.396233</v>
      </c>
      <c r="R28" s="13">
        <v>20</v>
      </c>
      <c r="S28" s="14">
        <v>0.394148</v>
      </c>
      <c r="T28" s="14">
        <v>0.396233</v>
      </c>
      <c r="U28" s="14">
        <v>0.83133999999999997</v>
      </c>
      <c r="V28" s="14">
        <v>0.68502200000000002</v>
      </c>
      <c r="W28" s="13">
        <v>1.52</v>
      </c>
      <c r="X28" s="13">
        <v>178.5</v>
      </c>
      <c r="Y28" s="13" t="s">
        <v>110</v>
      </c>
      <c r="Z28" s="14"/>
      <c r="AA28" s="14"/>
      <c r="AB28" s="13" t="s">
        <v>206</v>
      </c>
      <c r="AC28" s="13" t="s">
        <v>303</v>
      </c>
      <c r="AD28" s="15">
        <f t="shared" si="0"/>
        <v>0.32315185094468668</v>
      </c>
      <c r="AE28" s="15">
        <f t="shared" si="1"/>
        <v>2.0850000000000035E-3</v>
      </c>
      <c r="AF28" s="15">
        <f>IF(OR(V28="",Seeds!$C$8=""),"",V28-Seeds!$C$8)</f>
        <v>-0.17307833333333333</v>
      </c>
      <c r="AG28" s="15" t="str">
        <f>IF(OR(AF28="",Seeds!$C$10=""),"",IF(ABS(AF28)&gt;Seeds!$C$10,"Có","Không"))</f>
        <v>Có</v>
      </c>
    </row>
    <row r="29" spans="1:33" ht="15" customHeight="1" x14ac:dyDescent="0.3">
      <c r="A29" s="13" t="s">
        <v>207</v>
      </c>
      <c r="B29" s="13" t="s">
        <v>208</v>
      </c>
      <c r="C29" s="13" t="s">
        <v>209</v>
      </c>
      <c r="D29" s="13" t="s">
        <v>116</v>
      </c>
      <c r="E29" s="13" t="s">
        <v>117</v>
      </c>
      <c r="F29" s="13">
        <v>0.1</v>
      </c>
      <c r="G29" s="13">
        <v>0</v>
      </c>
      <c r="H29" s="13">
        <v>512</v>
      </c>
      <c r="I29" s="13">
        <v>20</v>
      </c>
      <c r="J29" s="13" t="s">
        <v>118</v>
      </c>
      <c r="K29" s="13">
        <v>0</v>
      </c>
      <c r="L29" s="13">
        <v>1</v>
      </c>
      <c r="M29" s="13" t="s">
        <v>120</v>
      </c>
      <c r="N29" s="13" t="s">
        <v>121</v>
      </c>
      <c r="O29" s="13">
        <v>1</v>
      </c>
      <c r="P29" s="14">
        <v>2.2690619999999999</v>
      </c>
      <c r="Q29" s="14">
        <v>0.23080500000000001</v>
      </c>
      <c r="R29" s="13">
        <v>19</v>
      </c>
      <c r="S29" s="14">
        <v>0.212343</v>
      </c>
      <c r="T29" s="14">
        <v>0.234487</v>
      </c>
      <c r="U29" s="14">
        <v>0.90755399999999997</v>
      </c>
      <c r="V29" s="14">
        <v>0.85296899999999998</v>
      </c>
      <c r="W29" s="13">
        <v>1.35</v>
      </c>
      <c r="X29" s="13">
        <v>178.7</v>
      </c>
      <c r="Y29" s="13" t="s">
        <v>110</v>
      </c>
      <c r="Z29" s="14"/>
      <c r="AA29" s="14"/>
      <c r="AB29" s="13" t="s">
        <v>210</v>
      </c>
      <c r="AC29" s="13" t="s">
        <v>304</v>
      </c>
      <c r="AD29" s="15">
        <f t="shared" si="0"/>
        <v>0.32315185094468668</v>
      </c>
      <c r="AE29" s="15">
        <f t="shared" si="1"/>
        <v>2.2143999999999997E-2</v>
      </c>
      <c r="AF29" s="15">
        <f>IF(OR(V29="",Seeds!$C$8=""),"",V29-Seeds!$C$8)</f>
        <v>-5.1313333333333766E-3</v>
      </c>
      <c r="AG29" s="15" t="str">
        <f>IF(OR(AF29="",Seeds!$C$10=""),"",IF(ABS(AF29)&gt;Seeds!$C$10,"Có","Không"))</f>
        <v>Có</v>
      </c>
    </row>
    <row r="30" spans="1:33" ht="15" customHeight="1" x14ac:dyDescent="0.3">
      <c r="A30" s="13" t="s">
        <v>211</v>
      </c>
      <c r="B30" s="13" t="s">
        <v>208</v>
      </c>
      <c r="C30" s="13" t="s">
        <v>212</v>
      </c>
      <c r="D30" s="13" t="s">
        <v>116</v>
      </c>
      <c r="E30" s="13" t="s">
        <v>117</v>
      </c>
      <c r="F30" s="13">
        <v>1</v>
      </c>
      <c r="G30" s="13">
        <v>0</v>
      </c>
      <c r="H30" s="13">
        <v>512</v>
      </c>
      <c r="I30" s="13">
        <v>20</v>
      </c>
      <c r="J30" s="13" t="s">
        <v>118</v>
      </c>
      <c r="K30" s="13">
        <v>0</v>
      </c>
      <c r="L30" s="13">
        <v>1</v>
      </c>
      <c r="M30" s="13" t="s">
        <v>120</v>
      </c>
      <c r="N30" s="13" t="s">
        <v>121</v>
      </c>
      <c r="O30" s="13">
        <v>1</v>
      </c>
      <c r="P30" s="14">
        <v>2.2690619999999999</v>
      </c>
      <c r="Q30" s="14">
        <v>0.30571999999999999</v>
      </c>
      <c r="R30" s="13">
        <v>20</v>
      </c>
      <c r="S30" s="14">
        <v>0.27952500000000002</v>
      </c>
      <c r="T30" s="14">
        <v>0.30571999999999999</v>
      </c>
      <c r="U30" s="14">
        <v>0.88600699999999999</v>
      </c>
      <c r="V30" s="14">
        <v>0.81509799999999999</v>
      </c>
      <c r="W30" s="13">
        <v>1.44</v>
      </c>
      <c r="X30" s="13">
        <v>179.1</v>
      </c>
      <c r="Y30" s="13" t="s">
        <v>110</v>
      </c>
      <c r="Z30" s="14"/>
      <c r="AA30" s="14"/>
      <c r="AB30" s="13" t="s">
        <v>213</v>
      </c>
      <c r="AC30" s="13" t="s">
        <v>305</v>
      </c>
      <c r="AD30" s="15">
        <f t="shared" si="0"/>
        <v>0.32315185094468668</v>
      </c>
      <c r="AE30" s="15">
        <f t="shared" si="1"/>
        <v>2.6194999999999968E-2</v>
      </c>
      <c r="AF30" s="15">
        <f>IF(OR(V30="",Seeds!$C$8=""),"",V30-Seeds!$C$8)</f>
        <v>-4.3002333333333365E-2</v>
      </c>
      <c r="AG30" s="15" t="str">
        <f>IF(OR(AF30="",Seeds!$C$10=""),"",IF(ABS(AF30)&gt;Seeds!$C$10,"Có","Không"))</f>
        <v>Có</v>
      </c>
    </row>
    <row r="31" spans="1:33" ht="15" customHeight="1" x14ac:dyDescent="0.3">
      <c r="A31" s="13" t="s">
        <v>214</v>
      </c>
      <c r="B31" s="13" t="s">
        <v>208</v>
      </c>
      <c r="C31" s="13" t="s">
        <v>215</v>
      </c>
      <c r="D31" s="13" t="s">
        <v>116</v>
      </c>
      <c r="E31" s="13" t="s">
        <v>117</v>
      </c>
      <c r="F31" s="13">
        <v>1</v>
      </c>
      <c r="G31" s="13">
        <v>0</v>
      </c>
      <c r="H31" s="13">
        <v>512</v>
      </c>
      <c r="I31" s="13">
        <v>20</v>
      </c>
      <c r="J31" s="13" t="s">
        <v>118</v>
      </c>
      <c r="K31" s="13">
        <v>0</v>
      </c>
      <c r="L31" s="13" t="s">
        <v>119</v>
      </c>
      <c r="M31" s="13" t="s">
        <v>120</v>
      </c>
      <c r="N31" s="13" t="s">
        <v>121</v>
      </c>
      <c r="O31" s="13">
        <v>1</v>
      </c>
      <c r="P31" s="14">
        <v>2.2690619999999999</v>
      </c>
      <c r="Q31" s="14">
        <v>0.38348599999999999</v>
      </c>
      <c r="R31" s="13">
        <v>15</v>
      </c>
      <c r="S31" s="14">
        <v>0.39222600000000002</v>
      </c>
      <c r="T31" s="14">
        <v>0.40144200000000002</v>
      </c>
      <c r="U31" s="14">
        <v>0.84722799999999998</v>
      </c>
      <c r="V31" s="14">
        <v>0.62760700000000003</v>
      </c>
      <c r="W31" s="13">
        <v>1.38</v>
      </c>
      <c r="X31" s="13">
        <v>178.9</v>
      </c>
      <c r="Y31" s="13" t="s">
        <v>110</v>
      </c>
      <c r="Z31" s="14"/>
      <c r="AA31" s="14"/>
      <c r="AB31" s="13" t="s">
        <v>216</v>
      </c>
      <c r="AC31" s="13" t="s">
        <v>306</v>
      </c>
      <c r="AD31" s="15">
        <f t="shared" si="0"/>
        <v>0.32315185094468668</v>
      </c>
      <c r="AE31" s="15">
        <f t="shared" si="1"/>
        <v>9.216000000000002E-3</v>
      </c>
      <c r="AF31" s="15">
        <f>IF(OR(V31="",Seeds!$C$8=""),"",V31-Seeds!$C$8)</f>
        <v>-0.23049333333333333</v>
      </c>
      <c r="AG31" s="15" t="str">
        <f>IF(OR(AF31="",Seeds!$C$10=""),"",IF(ABS(AF31)&gt;Seeds!$C$10,"Có","Không"))</f>
        <v>Có</v>
      </c>
    </row>
    <row r="32" spans="1:33" ht="15" customHeight="1" x14ac:dyDescent="0.3">
      <c r="A32" s="13" t="s">
        <v>217</v>
      </c>
      <c r="B32" s="13" t="s">
        <v>218</v>
      </c>
      <c r="C32" s="13" t="s">
        <v>219</v>
      </c>
      <c r="D32" s="13" t="s">
        <v>116</v>
      </c>
      <c r="E32" s="13" t="s">
        <v>117</v>
      </c>
      <c r="F32" s="13">
        <v>0.1</v>
      </c>
      <c r="G32" s="13">
        <v>0</v>
      </c>
      <c r="H32" s="13">
        <v>512</v>
      </c>
      <c r="I32" s="13">
        <v>20</v>
      </c>
      <c r="J32" s="13" t="s">
        <v>118</v>
      </c>
      <c r="K32" s="13">
        <v>0</v>
      </c>
      <c r="L32" s="13">
        <v>1</v>
      </c>
      <c r="M32" s="13" t="s">
        <v>220</v>
      </c>
      <c r="N32" s="13" t="s">
        <v>121</v>
      </c>
      <c r="O32" s="13">
        <v>1</v>
      </c>
      <c r="P32" s="14">
        <v>2.2690619999999999</v>
      </c>
      <c r="Q32" s="14">
        <v>0.22802800000000001</v>
      </c>
      <c r="R32" s="13">
        <v>20</v>
      </c>
      <c r="S32" s="14">
        <v>0.206404</v>
      </c>
      <c r="T32" s="14">
        <v>0.22802800000000001</v>
      </c>
      <c r="U32" s="14">
        <v>0.91013500000000003</v>
      </c>
      <c r="V32" s="14">
        <v>0.85685100000000003</v>
      </c>
      <c r="W32" s="13">
        <v>1.65</v>
      </c>
      <c r="X32" s="13">
        <v>179.4</v>
      </c>
      <c r="Y32" s="13" t="s">
        <v>110</v>
      </c>
      <c r="Z32" s="14"/>
      <c r="AA32" s="14"/>
      <c r="AB32" s="13" t="s">
        <v>221</v>
      </c>
      <c r="AC32" s="13" t="s">
        <v>307</v>
      </c>
      <c r="AD32" s="15">
        <f t="shared" si="0"/>
        <v>0.32315185094468668</v>
      </c>
      <c r="AE32" s="15">
        <f t="shared" si="1"/>
        <v>2.1624000000000004E-2</v>
      </c>
      <c r="AF32" s="15">
        <f>IF(OR(V32="",Seeds!$C$8=""),"",V32-Seeds!$C$8)</f>
        <v>-1.2493333333333245E-3</v>
      </c>
      <c r="AG32" s="15" t="str">
        <f>IF(OR(AF32="",Seeds!$C$10=""),"",IF(ABS(AF32)&gt;Seeds!$C$10,"Có","Không"))</f>
        <v>Không</v>
      </c>
    </row>
    <row r="33" spans="1:33" ht="15" customHeight="1" x14ac:dyDescent="0.3">
      <c r="A33" s="13" t="s">
        <v>222</v>
      </c>
      <c r="B33" s="13" t="s">
        <v>218</v>
      </c>
      <c r="C33" s="13" t="s">
        <v>223</v>
      </c>
      <c r="D33" s="13" t="s">
        <v>116</v>
      </c>
      <c r="E33" s="13" t="s">
        <v>117</v>
      </c>
      <c r="F33" s="13">
        <v>0.1</v>
      </c>
      <c r="G33" s="13">
        <v>0</v>
      </c>
      <c r="H33" s="13">
        <v>512</v>
      </c>
      <c r="I33" s="13">
        <v>20</v>
      </c>
      <c r="J33" s="13" t="s">
        <v>118</v>
      </c>
      <c r="K33" s="13">
        <v>0</v>
      </c>
      <c r="L33" s="13">
        <v>1</v>
      </c>
      <c r="M33" s="13" t="s">
        <v>224</v>
      </c>
      <c r="N33" s="13" t="s">
        <v>121</v>
      </c>
      <c r="O33" s="13">
        <v>1</v>
      </c>
      <c r="P33" s="14">
        <v>2.2690619999999999</v>
      </c>
      <c r="Q33" s="14">
        <v>0.22395599999999999</v>
      </c>
      <c r="R33" s="13">
        <v>20</v>
      </c>
      <c r="S33" s="14">
        <v>0.19959299999999999</v>
      </c>
      <c r="T33" s="14">
        <v>0.22395599999999999</v>
      </c>
      <c r="U33" s="14">
        <v>0.91031799999999996</v>
      </c>
      <c r="V33" s="14">
        <v>0.86261699999999997</v>
      </c>
      <c r="W33" s="13">
        <v>2.0299999999999998</v>
      </c>
      <c r="X33" s="13">
        <v>179.3</v>
      </c>
      <c r="Y33" s="13" t="s">
        <v>110</v>
      </c>
      <c r="Z33" s="14"/>
      <c r="AA33" s="14"/>
      <c r="AB33" s="13" t="s">
        <v>225</v>
      </c>
      <c r="AC33" s="13" t="s">
        <v>308</v>
      </c>
      <c r="AD33" s="15">
        <f t="shared" si="0"/>
        <v>0.32315185094468668</v>
      </c>
      <c r="AE33" s="15">
        <f t="shared" si="1"/>
        <v>2.4362999999999996E-2</v>
      </c>
      <c r="AF33" s="15">
        <f>IF(OR(V33="",Seeds!$C$8=""),"",V33-Seeds!$C$8)</f>
        <v>4.5166666666666133E-3</v>
      </c>
      <c r="AG33" s="15" t="str">
        <f>IF(OR(AF33="",Seeds!$C$10=""),"",IF(ABS(AF33)&gt;Seeds!$C$10,"Có","Không"))</f>
        <v>Có</v>
      </c>
    </row>
    <row r="34" spans="1:33" ht="15" customHeight="1" x14ac:dyDescent="0.3">
      <c r="A34" s="13" t="s">
        <v>226</v>
      </c>
      <c r="B34" s="13" t="s">
        <v>53</v>
      </c>
      <c r="C34" s="13" t="s">
        <v>227</v>
      </c>
      <c r="D34" s="13" t="s">
        <v>116</v>
      </c>
      <c r="E34" s="13" t="s">
        <v>117</v>
      </c>
      <c r="F34" s="13">
        <v>0.1</v>
      </c>
      <c r="G34" s="13">
        <v>0</v>
      </c>
      <c r="H34" s="13">
        <v>512</v>
      </c>
      <c r="I34" s="13">
        <v>20</v>
      </c>
      <c r="J34" s="13" t="s">
        <v>118</v>
      </c>
      <c r="K34" s="13">
        <v>0</v>
      </c>
      <c r="L34" s="13" t="s">
        <v>119</v>
      </c>
      <c r="M34" s="13" t="s">
        <v>120</v>
      </c>
      <c r="N34" s="13" t="s">
        <v>228</v>
      </c>
      <c r="O34" s="13">
        <v>1</v>
      </c>
      <c r="P34" s="14">
        <v>1.983036</v>
      </c>
      <c r="Q34" s="14">
        <v>0.23287099999999999</v>
      </c>
      <c r="R34" s="13">
        <v>20</v>
      </c>
      <c r="S34" s="14">
        <v>0.21284800000000001</v>
      </c>
      <c r="T34" s="14">
        <v>0.23287099999999999</v>
      </c>
      <c r="U34" s="14">
        <v>0.90684399999999998</v>
      </c>
      <c r="V34" s="14">
        <v>0.85785</v>
      </c>
      <c r="W34" s="13">
        <v>1.24</v>
      </c>
      <c r="X34" s="13">
        <v>180.2</v>
      </c>
      <c r="Y34" s="13" t="s">
        <v>110</v>
      </c>
      <c r="Z34" s="14"/>
      <c r="AA34" s="14"/>
      <c r="AB34" s="13" t="s">
        <v>229</v>
      </c>
      <c r="AC34" s="13" t="s">
        <v>309</v>
      </c>
      <c r="AD34" s="15">
        <f t="shared" ref="AD34:AD61" si="2">IF(P34="","",P34-LN(7))</f>
        <v>3.7125850944686789E-2</v>
      </c>
      <c r="AE34" s="15">
        <f t="shared" ref="AE34:AE61" si="3">IF(OR(T34="",S34=""),"",T34-S34)</f>
        <v>2.0022999999999985E-2</v>
      </c>
      <c r="AF34" s="15">
        <f>IF(OR(V34="",Seeds!$C$8=""),"",V34-Seeds!$C$8)</f>
        <v>-2.5033333333335239E-4</v>
      </c>
      <c r="AG34" s="15" t="str">
        <f>IF(OR(AF34="",Seeds!$C$10=""),"",IF(ABS(AF34)&gt;Seeds!$C$10,"Có","Không"))</f>
        <v>Không</v>
      </c>
    </row>
    <row r="35" spans="1:33" ht="15" customHeight="1" x14ac:dyDescent="0.3">
      <c r="A35" s="13" t="s">
        <v>230</v>
      </c>
      <c r="B35" s="13" t="s">
        <v>53</v>
      </c>
      <c r="C35" s="13" t="s">
        <v>231</v>
      </c>
      <c r="D35" s="13" t="s">
        <v>116</v>
      </c>
      <c r="E35" s="13" t="s">
        <v>117</v>
      </c>
      <c r="F35" s="13">
        <v>0.1</v>
      </c>
      <c r="G35" s="13">
        <v>0</v>
      </c>
      <c r="H35" s="13">
        <v>512</v>
      </c>
      <c r="I35" s="13">
        <v>20</v>
      </c>
      <c r="J35" s="13" t="s">
        <v>118</v>
      </c>
      <c r="K35" s="13">
        <v>0</v>
      </c>
      <c r="L35" s="13" t="s">
        <v>119</v>
      </c>
      <c r="M35" s="13" t="s">
        <v>120</v>
      </c>
      <c r="N35" s="13" t="s">
        <v>232</v>
      </c>
      <c r="O35" s="13">
        <v>1</v>
      </c>
      <c r="P35" s="14">
        <v>1.9459960000000001</v>
      </c>
      <c r="Q35" s="14">
        <v>0.23210900000000001</v>
      </c>
      <c r="R35" s="13">
        <v>20</v>
      </c>
      <c r="S35" s="14">
        <v>0.212732</v>
      </c>
      <c r="T35" s="14">
        <v>0.23210900000000001</v>
      </c>
      <c r="U35" s="14">
        <v>0.90702700000000003</v>
      </c>
      <c r="V35" s="14">
        <v>0.860904</v>
      </c>
      <c r="W35" s="13">
        <v>1.57</v>
      </c>
      <c r="X35" s="13">
        <v>179.8</v>
      </c>
      <c r="Y35" s="13" t="s">
        <v>110</v>
      </c>
      <c r="Z35" s="14"/>
      <c r="AA35" s="14"/>
      <c r="AB35" s="13" t="s">
        <v>233</v>
      </c>
      <c r="AC35" s="13" t="s">
        <v>310</v>
      </c>
      <c r="AD35" s="15">
        <f t="shared" si="2"/>
        <v>8.5850944686827191E-5</v>
      </c>
      <c r="AE35" s="15">
        <f t="shared" si="3"/>
        <v>1.9377000000000005E-2</v>
      </c>
      <c r="AF35" s="15">
        <f>IF(OR(V35="",Seeds!$C$8=""),"",V35-Seeds!$C$8)</f>
        <v>2.8036666666666488E-3</v>
      </c>
      <c r="AG35" s="15" t="str">
        <f>IF(OR(AF35="",Seeds!$C$10=""),"",IF(ABS(AF35)&gt;Seeds!$C$10,"Có","Không"))</f>
        <v>Không</v>
      </c>
    </row>
    <row r="36" spans="1:33" ht="15" customHeight="1" x14ac:dyDescent="0.3">
      <c r="A36" s="13" t="s">
        <v>234</v>
      </c>
      <c r="B36" s="13" t="s">
        <v>53</v>
      </c>
      <c r="C36" s="13" t="s">
        <v>235</v>
      </c>
      <c r="D36" s="13" t="s">
        <v>116</v>
      </c>
      <c r="E36" s="13" t="s">
        <v>117</v>
      </c>
      <c r="F36" s="13">
        <v>0.1</v>
      </c>
      <c r="G36" s="13">
        <v>0</v>
      </c>
      <c r="H36" s="13">
        <v>512</v>
      </c>
      <c r="I36" s="13">
        <v>20</v>
      </c>
      <c r="J36" s="13" t="s">
        <v>118</v>
      </c>
      <c r="K36" s="13">
        <v>0</v>
      </c>
      <c r="L36" s="13" t="s">
        <v>119</v>
      </c>
      <c r="M36" s="13" t="s">
        <v>120</v>
      </c>
      <c r="N36" s="13" t="s">
        <v>236</v>
      </c>
      <c r="O36" s="13">
        <v>1</v>
      </c>
      <c r="P36" s="14">
        <v>2.022176</v>
      </c>
      <c r="Q36" s="14">
        <v>0.22917299999999999</v>
      </c>
      <c r="R36" s="13">
        <v>20</v>
      </c>
      <c r="S36" s="14">
        <v>0.207678</v>
      </c>
      <c r="T36" s="14">
        <v>0.22917299999999999</v>
      </c>
      <c r="U36" s="14">
        <v>0.90866199999999997</v>
      </c>
      <c r="V36" s="14">
        <v>0.85609299999999999</v>
      </c>
      <c r="W36" s="13">
        <v>1.58</v>
      </c>
      <c r="X36" s="13">
        <v>180</v>
      </c>
      <c r="Y36" s="13" t="s">
        <v>110</v>
      </c>
      <c r="Z36" s="14"/>
      <c r="AA36" s="14"/>
      <c r="AB36" s="13" t="s">
        <v>237</v>
      </c>
      <c r="AC36" s="13" t="s">
        <v>311</v>
      </c>
      <c r="AD36" s="15">
        <f t="shared" si="2"/>
        <v>7.6265850944686742E-2</v>
      </c>
      <c r="AE36" s="15">
        <f t="shared" si="3"/>
        <v>2.1494999999999986E-2</v>
      </c>
      <c r="AF36" s="15">
        <f>IF(OR(V36="",Seeds!$C$8=""),"",V36-Seeds!$C$8)</f>
        <v>-2.0073333333333609E-3</v>
      </c>
      <c r="AG36" s="15" t="str">
        <f>IF(OR(AF36="",Seeds!$C$10=""),"",IF(ABS(AF36)&gt;Seeds!$C$10,"Có","Không"))</f>
        <v>Không</v>
      </c>
    </row>
    <row r="37" spans="1:33" ht="15" customHeight="1" x14ac:dyDescent="0.3">
      <c r="A37" s="13" t="s">
        <v>238</v>
      </c>
      <c r="B37" s="13" t="s">
        <v>53</v>
      </c>
      <c r="C37" s="13" t="s">
        <v>239</v>
      </c>
      <c r="D37" s="13" t="s">
        <v>116</v>
      </c>
      <c r="E37" s="13" t="s">
        <v>117</v>
      </c>
      <c r="F37" s="13">
        <v>0.1</v>
      </c>
      <c r="G37" s="13">
        <v>0</v>
      </c>
      <c r="H37" s="13">
        <v>512</v>
      </c>
      <c r="I37" s="13">
        <v>20</v>
      </c>
      <c r="J37" s="13" t="s">
        <v>118</v>
      </c>
      <c r="K37" s="13">
        <v>0</v>
      </c>
      <c r="L37" s="13" t="s">
        <v>119</v>
      </c>
      <c r="M37" s="13" t="s">
        <v>120</v>
      </c>
      <c r="N37" s="13" t="s">
        <v>240</v>
      </c>
      <c r="O37" s="13">
        <v>1</v>
      </c>
      <c r="P37" s="14">
        <v>1.94591</v>
      </c>
      <c r="Q37" s="14">
        <v>1.2051829999999999</v>
      </c>
      <c r="R37" s="13">
        <v>2</v>
      </c>
      <c r="S37" s="14">
        <v>1.2115499999999999</v>
      </c>
      <c r="T37" s="14">
        <v>1.2061820000000001</v>
      </c>
      <c r="U37" s="14">
        <v>0.487597</v>
      </c>
      <c r="V37" s="14">
        <v>9.3649999999999997E-2</v>
      </c>
      <c r="W37" s="13">
        <v>1.59</v>
      </c>
      <c r="X37" s="13">
        <v>179.6</v>
      </c>
      <c r="Y37" s="13" t="s">
        <v>110</v>
      </c>
      <c r="Z37" s="14"/>
      <c r="AA37" s="14"/>
      <c r="AB37" s="13" t="s">
        <v>241</v>
      </c>
      <c r="AC37" s="13" t="s">
        <v>312</v>
      </c>
      <c r="AD37" s="15">
        <f t="shared" si="2"/>
        <v>-1.4905531320330567E-7</v>
      </c>
      <c r="AE37" s="15">
        <f t="shared" si="3"/>
        <v>-5.3679999999998174E-3</v>
      </c>
      <c r="AF37" s="15">
        <f>IF(OR(V37="",Seeds!$C$8=""),"",V37-Seeds!$C$8)</f>
        <v>-0.76445033333333334</v>
      </c>
      <c r="AG37" s="15" t="str">
        <f>IF(OR(AF37="",Seeds!$C$10=""),"",IF(ABS(AF37)&gt;Seeds!$C$10,"Có","Không"))</f>
        <v>Có</v>
      </c>
    </row>
    <row r="38" spans="1:33" ht="15" customHeight="1" x14ac:dyDescent="0.3">
      <c r="A38" s="13" t="s">
        <v>242</v>
      </c>
      <c r="B38" s="13" t="s">
        <v>243</v>
      </c>
      <c r="C38" s="13" t="s">
        <v>115</v>
      </c>
      <c r="D38" s="13" t="s">
        <v>116</v>
      </c>
      <c r="E38" s="13" t="s">
        <v>109</v>
      </c>
      <c r="F38" s="13">
        <v>3.0000000000000001E-3</v>
      </c>
      <c r="G38" s="13">
        <v>0</v>
      </c>
      <c r="H38" s="13">
        <v>512</v>
      </c>
      <c r="I38" s="13">
        <v>40</v>
      </c>
      <c r="J38" s="13" t="s">
        <v>118</v>
      </c>
      <c r="K38" s="13">
        <v>0</v>
      </c>
      <c r="L38" s="13" t="s">
        <v>119</v>
      </c>
      <c r="M38" s="13" t="s">
        <v>120</v>
      </c>
      <c r="N38" s="13" t="s">
        <v>121</v>
      </c>
      <c r="O38" s="13">
        <v>1</v>
      </c>
      <c r="P38" s="14">
        <v>2.2690619999999999</v>
      </c>
      <c r="Q38" s="14">
        <v>0.18831899999999999</v>
      </c>
      <c r="R38" s="13">
        <v>38</v>
      </c>
      <c r="S38" s="14">
        <v>0.154972</v>
      </c>
      <c r="T38" s="14">
        <v>0.18878700000000001</v>
      </c>
      <c r="U38" s="14">
        <v>0.927261</v>
      </c>
      <c r="V38" s="14">
        <v>0.89013699999999996</v>
      </c>
      <c r="W38" s="13">
        <v>1.57</v>
      </c>
      <c r="X38" s="13">
        <v>181.3</v>
      </c>
      <c r="Y38" s="13" t="s">
        <v>110</v>
      </c>
      <c r="Z38" s="14">
        <v>0.92651700000000003</v>
      </c>
      <c r="AA38" s="14">
        <v>0.89335100000000001</v>
      </c>
      <c r="AB38" s="13" t="s">
        <v>244</v>
      </c>
      <c r="AC38" s="13" t="s">
        <v>313</v>
      </c>
      <c r="AD38" s="15">
        <f t="shared" si="2"/>
        <v>0.32315185094468668</v>
      </c>
      <c r="AE38" s="15">
        <f t="shared" si="3"/>
        <v>3.3815000000000012E-2</v>
      </c>
      <c r="AF38" s="15">
        <f>IF(OR(V38="",Seeds!$C$8=""),"",V38-Seeds!$C$8)</f>
        <v>3.2036666666666602E-2</v>
      </c>
      <c r="AG38" s="15" t="str">
        <f>IF(OR(AF38="",Seeds!$C$10=""),"",IF(ABS(AF38)&gt;Seeds!$C$10,"Có","Không"))</f>
        <v>Có</v>
      </c>
    </row>
    <row r="39" spans="1:33" ht="15" customHeight="1" x14ac:dyDescent="0.3">
      <c r="A39" s="13" t="s">
        <v>245</v>
      </c>
      <c r="B39" s="13" t="s">
        <v>243</v>
      </c>
      <c r="C39" s="13" t="s">
        <v>246</v>
      </c>
      <c r="D39" s="13" t="s">
        <v>116</v>
      </c>
      <c r="E39" s="13" t="s">
        <v>109</v>
      </c>
      <c r="F39" s="13">
        <v>3.0000000000000001E-3</v>
      </c>
      <c r="G39" s="13">
        <v>0</v>
      </c>
      <c r="H39" s="13">
        <v>512</v>
      </c>
      <c r="I39" s="13">
        <v>40</v>
      </c>
      <c r="J39" s="13" t="s">
        <v>118</v>
      </c>
      <c r="K39" s="13">
        <v>0</v>
      </c>
      <c r="L39" s="13" t="s">
        <v>119</v>
      </c>
      <c r="M39" s="13" t="s">
        <v>120</v>
      </c>
      <c r="N39" s="13" t="s">
        <v>121</v>
      </c>
      <c r="O39" s="13">
        <v>2</v>
      </c>
      <c r="P39" s="14">
        <v>1.9781569999999999</v>
      </c>
      <c r="Q39" s="14">
        <v>0.180869</v>
      </c>
      <c r="R39" s="13">
        <v>39</v>
      </c>
      <c r="S39" s="14">
        <v>0.15049100000000001</v>
      </c>
      <c r="T39" s="14">
        <v>0.18879199999999999</v>
      </c>
      <c r="U39" s="14">
        <v>0.93120800000000004</v>
      </c>
      <c r="V39" s="14">
        <v>0.89320600000000006</v>
      </c>
      <c r="W39" s="13">
        <v>1.68</v>
      </c>
      <c r="X39" s="13">
        <v>180.7</v>
      </c>
      <c r="Y39" s="13" t="s">
        <v>110</v>
      </c>
      <c r="Z39" s="14"/>
      <c r="AA39" s="14"/>
      <c r="AB39" s="13" t="s">
        <v>247</v>
      </c>
      <c r="AC39" s="13" t="s">
        <v>314</v>
      </c>
      <c r="AD39" s="15">
        <f t="shared" si="2"/>
        <v>3.2246850944686711E-2</v>
      </c>
      <c r="AE39" s="15">
        <f t="shared" si="3"/>
        <v>3.8300999999999974E-2</v>
      </c>
      <c r="AF39" s="15">
        <f>IF(OR(V39="",Seeds!$C$8=""),"",V39-Seeds!$C$8)</f>
        <v>3.5105666666666702E-2</v>
      </c>
      <c r="AG39" s="15" t="str">
        <f>IF(OR(AF39="",Seeds!$C$10=""),"",IF(ABS(AF39)&gt;Seeds!$C$10,"Có","Không"))</f>
        <v>Có</v>
      </c>
    </row>
    <row r="40" spans="1:33" ht="15" customHeight="1" x14ac:dyDescent="0.3">
      <c r="A40" s="13" t="s">
        <v>248</v>
      </c>
      <c r="B40" s="13" t="s">
        <v>243</v>
      </c>
      <c r="C40" s="13" t="s">
        <v>249</v>
      </c>
      <c r="D40" s="13" t="s">
        <v>116</v>
      </c>
      <c r="E40" s="13" t="s">
        <v>109</v>
      </c>
      <c r="F40" s="13">
        <v>3.0000000000000001E-3</v>
      </c>
      <c r="G40" s="13">
        <v>0</v>
      </c>
      <c r="H40" s="13">
        <v>512</v>
      </c>
      <c r="I40" s="13">
        <v>40</v>
      </c>
      <c r="J40" s="13" t="s">
        <v>118</v>
      </c>
      <c r="K40" s="13">
        <v>0</v>
      </c>
      <c r="L40" s="13" t="s">
        <v>119</v>
      </c>
      <c r="M40" s="13" t="s">
        <v>120</v>
      </c>
      <c r="N40" s="13" t="s">
        <v>121</v>
      </c>
      <c r="O40" s="13">
        <v>3</v>
      </c>
      <c r="P40" s="14">
        <v>1.9005399999999999</v>
      </c>
      <c r="Q40" s="14">
        <v>0.18537000000000001</v>
      </c>
      <c r="R40" s="13">
        <v>40</v>
      </c>
      <c r="S40" s="14">
        <v>0.15060000000000001</v>
      </c>
      <c r="T40" s="14">
        <v>0.18537000000000001</v>
      </c>
      <c r="U40" s="14">
        <v>0.92871300000000001</v>
      </c>
      <c r="V40" s="14">
        <v>0.89649699999999999</v>
      </c>
      <c r="W40" s="13">
        <v>1.66</v>
      </c>
      <c r="X40" s="13">
        <v>180.9</v>
      </c>
      <c r="Y40" s="13" t="s">
        <v>110</v>
      </c>
      <c r="Z40" s="14"/>
      <c r="AA40" s="14"/>
      <c r="AB40" s="13" t="s">
        <v>250</v>
      </c>
      <c r="AC40" s="13" t="s">
        <v>315</v>
      </c>
      <c r="AD40" s="15">
        <f t="shared" si="2"/>
        <v>-4.5370149055313336E-2</v>
      </c>
      <c r="AE40" s="15">
        <f t="shared" si="3"/>
        <v>3.4769999999999995E-2</v>
      </c>
      <c r="AF40" s="15">
        <f>IF(OR(V40="",Seeds!$C$8=""),"",V40-Seeds!$C$8)</f>
        <v>3.8396666666666635E-2</v>
      </c>
      <c r="AG40" s="15" t="str">
        <f>IF(OR(AF40="",Seeds!$C$10=""),"",IF(ABS(AF40)&gt;Seeds!$C$10,"Có","Không"))</f>
        <v>Có</v>
      </c>
    </row>
    <row r="41" spans="1:33" ht="1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4"/>
      <c r="Q41" s="14"/>
      <c r="R41" s="13"/>
      <c r="S41" s="14"/>
      <c r="T41" s="14"/>
      <c r="U41" s="14"/>
      <c r="V41" s="14"/>
      <c r="W41" s="13"/>
      <c r="X41" s="13"/>
      <c r="Y41" s="13"/>
      <c r="Z41" s="14"/>
      <c r="AA41" s="14"/>
      <c r="AB41" s="13"/>
      <c r="AC41" s="13"/>
      <c r="AD41" s="15" t="str">
        <f t="shared" si="2"/>
        <v/>
      </c>
      <c r="AE41" s="15" t="str">
        <f t="shared" si="3"/>
        <v/>
      </c>
      <c r="AF41" s="15" t="str">
        <f>IF(OR(V41="",Seeds!$C$8=""),"",V41-Seeds!$C$8)</f>
        <v/>
      </c>
      <c r="AG41" s="15" t="str">
        <f>IF(OR(AF41="",Seeds!$C$10=""),"",IF(ABS(AF41)&gt;Seeds!$C$10,"Có","Không"))</f>
        <v/>
      </c>
    </row>
    <row r="42" spans="1:33" ht="15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  <c r="Q42" s="14"/>
      <c r="R42" s="13"/>
      <c r="S42" s="14"/>
      <c r="T42" s="14"/>
      <c r="U42" s="14"/>
      <c r="V42" s="14"/>
      <c r="W42" s="13"/>
      <c r="X42" s="13"/>
      <c r="Y42" s="13"/>
      <c r="Z42" s="14"/>
      <c r="AA42" s="14"/>
      <c r="AB42" s="13"/>
      <c r="AC42" s="13"/>
      <c r="AD42" s="15" t="str">
        <f t="shared" si="2"/>
        <v/>
      </c>
      <c r="AE42" s="15" t="str">
        <f t="shared" si="3"/>
        <v/>
      </c>
      <c r="AF42" s="15" t="str">
        <f>IF(OR(V42="",Seeds!$C$8=""),"",V42-Seeds!$C$8)</f>
        <v/>
      </c>
      <c r="AG42" s="15" t="str">
        <f>IF(OR(AF42="",Seeds!$C$10=""),"",IF(ABS(AF42)&gt;Seeds!$C$10,"Có","Không"))</f>
        <v/>
      </c>
    </row>
    <row r="43" spans="1:33" ht="1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/>
      <c r="Q43" s="14"/>
      <c r="R43" s="13"/>
      <c r="S43" s="14"/>
      <c r="T43" s="14"/>
      <c r="U43" s="14"/>
      <c r="V43" s="14"/>
      <c r="W43" s="13"/>
      <c r="X43" s="13"/>
      <c r="Y43" s="13"/>
      <c r="Z43" s="14"/>
      <c r="AA43" s="14"/>
      <c r="AB43" s="13"/>
      <c r="AC43" s="13"/>
      <c r="AD43" s="15" t="str">
        <f t="shared" si="2"/>
        <v/>
      </c>
      <c r="AE43" s="15" t="str">
        <f t="shared" si="3"/>
        <v/>
      </c>
      <c r="AF43" s="15" t="str">
        <f>IF(OR(V43="",Seeds!$C$8=""),"",V43-Seeds!$C$8)</f>
        <v/>
      </c>
      <c r="AG43" s="15" t="str">
        <f>IF(OR(AF43="",Seeds!$C$10=""),"",IF(ABS(AF43)&gt;Seeds!$C$10,"Có","Không"))</f>
        <v/>
      </c>
    </row>
    <row r="44" spans="1:33" ht="1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  <c r="Q44" s="14"/>
      <c r="R44" s="13"/>
      <c r="S44" s="14"/>
      <c r="T44" s="14"/>
      <c r="U44" s="14"/>
      <c r="V44" s="14"/>
      <c r="W44" s="13"/>
      <c r="X44" s="13"/>
      <c r="Y44" s="13"/>
      <c r="Z44" s="14"/>
      <c r="AA44" s="14"/>
      <c r="AB44" s="13"/>
      <c r="AC44" s="13"/>
      <c r="AD44" s="15" t="str">
        <f t="shared" si="2"/>
        <v/>
      </c>
      <c r="AE44" s="15" t="str">
        <f t="shared" si="3"/>
        <v/>
      </c>
      <c r="AF44" s="15" t="str">
        <f>IF(OR(V44="",Seeds!$C$8=""),"",V44-Seeds!$C$8)</f>
        <v/>
      </c>
      <c r="AG44" s="15" t="str">
        <f>IF(OR(AF44="",Seeds!$C$10=""),"",IF(ABS(AF44)&gt;Seeds!$C$10,"Có","Không"))</f>
        <v/>
      </c>
    </row>
    <row r="45" spans="1:33" ht="1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/>
      <c r="Q45" s="14"/>
      <c r="R45" s="13"/>
      <c r="S45" s="14"/>
      <c r="T45" s="14"/>
      <c r="U45" s="14"/>
      <c r="V45" s="14"/>
      <c r="W45" s="13"/>
      <c r="X45" s="13"/>
      <c r="Y45" s="13"/>
      <c r="Z45" s="14"/>
      <c r="AA45" s="14"/>
      <c r="AB45" s="13"/>
      <c r="AC45" s="13"/>
      <c r="AD45" s="15" t="str">
        <f t="shared" si="2"/>
        <v/>
      </c>
      <c r="AE45" s="15" t="str">
        <f t="shared" si="3"/>
        <v/>
      </c>
      <c r="AF45" s="15" t="str">
        <f>IF(OR(V45="",Seeds!$C$8=""),"",V45-Seeds!$C$8)</f>
        <v/>
      </c>
      <c r="AG45" s="15" t="str">
        <f>IF(OR(AF45="",Seeds!$C$10=""),"",IF(ABS(AF45)&gt;Seeds!$C$10,"Có","Không"))</f>
        <v/>
      </c>
    </row>
    <row r="46" spans="1:33" ht="1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  <c r="Q46" s="14"/>
      <c r="R46" s="13"/>
      <c r="S46" s="14"/>
      <c r="T46" s="14"/>
      <c r="U46" s="14"/>
      <c r="V46" s="14"/>
      <c r="W46" s="13"/>
      <c r="X46" s="13"/>
      <c r="Y46" s="13"/>
      <c r="Z46" s="14"/>
      <c r="AA46" s="14"/>
      <c r="AB46" s="13"/>
      <c r="AC46" s="13"/>
      <c r="AD46" s="15" t="str">
        <f t="shared" si="2"/>
        <v/>
      </c>
      <c r="AE46" s="15" t="str">
        <f t="shared" si="3"/>
        <v/>
      </c>
      <c r="AF46" s="15" t="str">
        <f>IF(OR(V46="",Seeds!$C$8=""),"",V46-Seeds!$C$8)</f>
        <v/>
      </c>
      <c r="AG46" s="15" t="str">
        <f>IF(OR(AF46="",Seeds!$C$10=""),"",IF(ABS(AF46)&gt;Seeds!$C$10,"Có","Không"))</f>
        <v/>
      </c>
    </row>
    <row r="47" spans="1:33" ht="1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  <c r="Q47" s="14"/>
      <c r="R47" s="13"/>
      <c r="S47" s="14"/>
      <c r="T47" s="14"/>
      <c r="U47" s="14"/>
      <c r="V47" s="14"/>
      <c r="W47" s="13"/>
      <c r="X47" s="13"/>
      <c r="Y47" s="13"/>
      <c r="Z47" s="14"/>
      <c r="AA47" s="14"/>
      <c r="AB47" s="13"/>
      <c r="AC47" s="13"/>
      <c r="AD47" s="15" t="str">
        <f t="shared" si="2"/>
        <v/>
      </c>
      <c r="AE47" s="15" t="str">
        <f t="shared" si="3"/>
        <v/>
      </c>
      <c r="AF47" s="15" t="str">
        <f>IF(OR(V47="",Seeds!$C$8=""),"",V47-Seeds!$C$8)</f>
        <v/>
      </c>
      <c r="AG47" s="15" t="str">
        <f>IF(OR(AF47="",Seeds!$C$10=""),"",IF(ABS(AF47)&gt;Seeds!$C$10,"Có","Không"))</f>
        <v/>
      </c>
    </row>
    <row r="48" spans="1:33" ht="1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  <c r="Q48" s="14"/>
      <c r="R48" s="13"/>
      <c r="S48" s="14"/>
      <c r="T48" s="14"/>
      <c r="U48" s="14"/>
      <c r="V48" s="14"/>
      <c r="W48" s="13"/>
      <c r="X48" s="13"/>
      <c r="Y48" s="13"/>
      <c r="Z48" s="14"/>
      <c r="AA48" s="14"/>
      <c r="AB48" s="13"/>
      <c r="AC48" s="13"/>
      <c r="AD48" s="15" t="str">
        <f t="shared" si="2"/>
        <v/>
      </c>
      <c r="AE48" s="15" t="str">
        <f t="shared" si="3"/>
        <v/>
      </c>
      <c r="AF48" s="15" t="str">
        <f>IF(OR(V48="",Seeds!$C$8=""),"",V48-Seeds!$C$8)</f>
        <v/>
      </c>
      <c r="AG48" s="15" t="str">
        <f>IF(OR(AF48="",Seeds!$C$10=""),"",IF(ABS(AF48)&gt;Seeds!$C$10,"Có","Không"))</f>
        <v/>
      </c>
    </row>
    <row r="49" spans="1:33" ht="1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t="shared" si="2"/>
        <v/>
      </c>
      <c r="AE49" s="15" t="str">
        <f t="shared" si="3"/>
        <v/>
      </c>
      <c r="AF49" s="15" t="str">
        <f>IF(OR(V49="",Seeds!$C$8=""),"",V49-Seeds!$C$8)</f>
        <v/>
      </c>
      <c r="AG49" s="15" t="str">
        <f>IF(OR(AF49="",Seeds!$C$10=""),"",IF(ABS(AF49)&gt;Seeds!$C$10,"Có","Không"))</f>
        <v/>
      </c>
    </row>
    <row r="50" spans="1:33" ht="1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t="shared" si="2"/>
        <v/>
      </c>
      <c r="AE50" s="15" t="str">
        <f t="shared" si="3"/>
        <v/>
      </c>
      <c r="AF50" s="15" t="str">
        <f>IF(OR(V50="",Seeds!$C$8=""),"",V50-Seeds!$C$8)</f>
        <v/>
      </c>
      <c r="AG50" s="15" t="str">
        <f>IF(OR(AF50="",Seeds!$C$10=""),"",IF(ABS(AF50)&gt;Seeds!$C$10,"Có","Không"))</f>
        <v/>
      </c>
    </row>
    <row r="51" spans="1:33" ht="1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t="shared" si="2"/>
        <v/>
      </c>
      <c r="AE51" s="15" t="str">
        <f t="shared" si="3"/>
        <v/>
      </c>
      <c r="AF51" s="15" t="str">
        <f>IF(OR(V51="",Seeds!$C$8=""),"",V51-Seeds!$C$8)</f>
        <v/>
      </c>
      <c r="AG51" s="15" t="str">
        <f>IF(OR(AF51="",Seeds!$C$10=""),"",IF(ABS(AF51)&gt;Seeds!$C$10,"Có","Không"))</f>
        <v/>
      </c>
    </row>
    <row r="52" spans="1:33" ht="1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t="shared" si="2"/>
        <v/>
      </c>
      <c r="AE52" s="15" t="str">
        <f t="shared" si="3"/>
        <v/>
      </c>
      <c r="AF52" s="15" t="str">
        <f>IF(OR(V52="",Seeds!$C$8=""),"",V52-Seeds!$C$8)</f>
        <v/>
      </c>
      <c r="AG52" s="15" t="str">
        <f>IF(OR(AF52="",Seeds!$C$10=""),"",IF(ABS(AF52)&gt;Seeds!$C$10,"Có","Không"))</f>
        <v/>
      </c>
    </row>
    <row r="53" spans="1:33" ht="1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t="shared" si="2"/>
        <v/>
      </c>
      <c r="AE53" s="15" t="str">
        <f t="shared" si="3"/>
        <v/>
      </c>
      <c r="AF53" s="15" t="str">
        <f>IF(OR(V53="",Seeds!$C$8=""),"",V53-Seeds!$C$8)</f>
        <v/>
      </c>
      <c r="AG53" s="15" t="str">
        <f>IF(OR(AF53="",Seeds!$C$10=""),"",IF(ABS(AF53)&gt;Seeds!$C$10,"Có","Không"))</f>
        <v/>
      </c>
    </row>
    <row r="54" spans="1:33" ht="1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t="shared" si="2"/>
        <v/>
      </c>
      <c r="AE54" s="15" t="str">
        <f t="shared" si="3"/>
        <v/>
      </c>
      <c r="AF54" s="15" t="str">
        <f>IF(OR(V54="",Seeds!$C$8=""),"",V54-Seeds!$C$8)</f>
        <v/>
      </c>
      <c r="AG54" s="15" t="str">
        <f>IF(OR(AF54="",Seeds!$C$10=""),"",IF(ABS(AF54)&gt;Seeds!$C$10,"Có","Không"))</f>
        <v/>
      </c>
    </row>
    <row r="55" spans="1:33" ht="1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t="shared" si="2"/>
        <v/>
      </c>
      <c r="AE55" s="15" t="str">
        <f t="shared" si="3"/>
        <v/>
      </c>
      <c r="AF55" s="15" t="str">
        <f>IF(OR(V55="",Seeds!$C$8=""),"",V55-Seeds!$C$8)</f>
        <v/>
      </c>
      <c r="AG55" s="15" t="str">
        <f>IF(OR(AF55="",Seeds!$C$10=""),"",IF(ABS(AF55)&gt;Seeds!$C$10,"Có","Không"))</f>
        <v/>
      </c>
    </row>
    <row r="56" spans="1:33" ht="1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t="shared" si="2"/>
        <v/>
      </c>
      <c r="AE56" s="15" t="str">
        <f t="shared" si="3"/>
        <v/>
      </c>
      <c r="AF56" s="15" t="str">
        <f>IF(OR(V56="",Seeds!$C$8=""),"",V56-Seeds!$C$8)</f>
        <v/>
      </c>
      <c r="AG56" s="15" t="str">
        <f>IF(OR(AF56="",Seeds!$C$10=""),"",IF(ABS(AF56)&gt;Seeds!$C$10,"Có","Không"))</f>
        <v/>
      </c>
    </row>
    <row r="57" spans="1:33" ht="1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t="shared" si="2"/>
        <v/>
      </c>
      <c r="AE57" s="15" t="str">
        <f t="shared" si="3"/>
        <v/>
      </c>
      <c r="AF57" s="15" t="str">
        <f>IF(OR(V57="",Seeds!$C$8=""),"",V57-Seeds!$C$8)</f>
        <v/>
      </c>
      <c r="AG57" s="15" t="str">
        <f>IF(OR(AF57="",Seeds!$C$10=""),"",IF(ABS(AF57)&gt;Seeds!$C$10,"Có","Không"))</f>
        <v/>
      </c>
    </row>
    <row r="58" spans="1:33" ht="1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t="shared" si="2"/>
        <v/>
      </c>
      <c r="AE58" s="15" t="str">
        <f t="shared" si="3"/>
        <v/>
      </c>
      <c r="AF58" s="15" t="str">
        <f>IF(OR(V58="",Seeds!$C$8=""),"",V58-Seeds!$C$8)</f>
        <v/>
      </c>
      <c r="AG58" s="15" t="str">
        <f>IF(OR(AF58="",Seeds!$C$10=""),"",IF(ABS(AF58)&gt;Seeds!$C$10,"Có","Không"))</f>
        <v/>
      </c>
    </row>
    <row r="59" spans="1:33" ht="1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t="shared" si="2"/>
        <v/>
      </c>
      <c r="AE59" s="15" t="str">
        <f t="shared" si="3"/>
        <v/>
      </c>
      <c r="AF59" s="15" t="str">
        <f>IF(OR(V59="",Seeds!$C$8=""),"",V59-Seeds!$C$8)</f>
        <v/>
      </c>
      <c r="AG59" s="15" t="str">
        <f>IF(OR(AF59="",Seeds!$C$10=""),"",IF(ABS(AF59)&gt;Seeds!$C$10,"Có","Không"))</f>
        <v/>
      </c>
    </row>
    <row r="60" spans="1:33" ht="1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t="shared" si="2"/>
        <v/>
      </c>
      <c r="AE60" s="15" t="str">
        <f t="shared" si="3"/>
        <v/>
      </c>
      <c r="AF60" s="15" t="str">
        <f>IF(OR(V60="",Seeds!$C$8=""),"",V60-Seeds!$C$8)</f>
        <v/>
      </c>
      <c r="AG60" s="15" t="str">
        <f>IF(OR(AF60="",Seeds!$C$10=""),"",IF(ABS(AF60)&gt;Seeds!$C$10,"Có","Không"))</f>
        <v/>
      </c>
    </row>
    <row r="61" spans="1:33" ht="1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t="shared" si="2"/>
        <v/>
      </c>
      <c r="AE61" s="15" t="str">
        <f t="shared" si="3"/>
        <v/>
      </c>
      <c r="AF61" s="15" t="str">
        <f>IF(OR(V61="",Seeds!$C$8=""),"",V61-Seeds!$C$8)</f>
        <v/>
      </c>
      <c r="AG61" s="15" t="str">
        <f>IF(OR(AF61="",Seeds!$C$10=""),"",IF(ABS(AF61)&gt;Seeds!$C$10,"Có","Không"))</f>
        <v/>
      </c>
    </row>
  </sheetData>
  <autoFilter ref="A1:AG61" xr:uid="{00000000-0009-0000-0000-000001000000}"/>
  <dataValidations count="6">
    <dataValidation type="list" allowBlank="1" sqref="B2:B61" xr:uid="{00000000-0002-0000-0100-000000000000}">
      <formula1>"baseline,loss,optimizer,hparam,dropout,clipping,amp,init,final,other"</formula1>
      <formula2>0</formula2>
    </dataValidation>
    <dataValidation type="list" allowBlank="1" sqref="D2:D61" xr:uid="{00000000-0002-0000-0100-000001000000}">
      <formula1>"CE,MSE"</formula1>
      <formula2>0</formula2>
    </dataValidation>
    <dataValidation type="list" allowBlank="1" sqref="E2:E61" xr:uid="{00000000-0002-0000-0100-000002000000}">
      <formula1>"SGD,SGD+momentum,Adam,AdamW"</formula1>
      <formula2>0</formula2>
    </dataValidation>
    <dataValidation type="list" allowBlank="1" sqref="M2:M61" xr:uid="{00000000-0002-0000-0100-000003000000}">
      <formula1>"fp32,fp16,bf16"</formula1>
      <formula2>0</formula2>
    </dataValidation>
    <dataValidation type="list" allowBlank="1" sqref="N2:N61" xr:uid="{00000000-0002-0000-0100-000004000000}">
      <formula1>"zeros,normal,xavier,he,default"</formula1>
      <formula2>0</formula2>
    </dataValidation>
    <dataValidation type="list" allowBlank="1" sqref="Y2:Y61" xr:uid="{00000000-0002-0000-0100-000005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defaultColWidth="8.6640625" defaultRowHeight="14.4" x14ac:dyDescent="0.3"/>
  <cols>
    <col min="1" max="1" width="26" customWidth="1"/>
    <col min="2" max="4" width="16" customWidth="1"/>
  </cols>
  <sheetData>
    <row r="1" spans="1:4" ht="30" customHeight="1" x14ac:dyDescent="0.3">
      <c r="A1" s="7" t="s">
        <v>251</v>
      </c>
      <c r="B1" s="7" t="s">
        <v>70</v>
      </c>
      <c r="C1" s="7" t="s">
        <v>73</v>
      </c>
      <c r="D1" s="7" t="s">
        <v>61</v>
      </c>
    </row>
    <row r="2" spans="1:4" ht="15" customHeight="1" x14ac:dyDescent="0.3">
      <c r="A2" s="12" t="s">
        <v>113</v>
      </c>
      <c r="B2" s="15">
        <f>IF($A2="","",IFERROR(IF(INDEX(Experiments!$U$2:$U$61,MATCH($A2,Experiments!$A$2:$A$61,0))="","",INDEX(Experiments!$U$2:$U$61,MATCH($A2,Experiments!$A$2:$A$61,0))),""))</f>
        <v>0.90705899999999995</v>
      </c>
      <c r="C2" s="15">
        <f>IF($A2="","",IFERROR(IF(INDEX(Experiments!$V$2:$V$61,MATCH($A2,Experiments!$A$2:$A$61,0))="","",INDEX(Experiments!$V$2:$V$61,MATCH($A2,Experiments!$A$2:$A$61,0))),""))</f>
        <v>0.85749299999999995</v>
      </c>
      <c r="D2" s="15">
        <f>IF($A2="","",IFERROR(IF(INDEX(Experiments!$Q$2:$Q$61,MATCH($A2,Experiments!$A$2:$A$61,0))="","",INDEX(Experiments!$Q$2:$Q$61,MATCH($A2,Experiments!$A$2:$A$61,0))),""))</f>
        <v>0.23269799999999999</v>
      </c>
    </row>
    <row r="3" spans="1:4" ht="15" customHeight="1" x14ac:dyDescent="0.3">
      <c r="A3" s="12" t="s">
        <v>123</v>
      </c>
      <c r="B3" s="15">
        <f>IF($A3="","",IFERROR(IF(INDEX(Experiments!$U$2:$U$61,MATCH($A3,Experiments!$A$2:$A$61,0))="","",INDEX(Experiments!$U$2:$U$61,MATCH($A3,Experiments!$A$2:$A$61,0))),""))</f>
        <v>0.91075899999999999</v>
      </c>
      <c r="C3" s="15">
        <f>IF($A3="","",IFERROR(IF(INDEX(Experiments!$V$2:$V$61,MATCH($A3,Experiments!$A$2:$A$61,0))="","",INDEX(Experiments!$V$2:$V$61,MATCH($A3,Experiments!$A$2:$A$61,0))),""))</f>
        <v>0.85655499999999996</v>
      </c>
      <c r="D3" s="15">
        <f>IF($A3="","",IFERROR(IF(INDEX(Experiments!$Q$2:$Q$61,MATCH($A3,Experiments!$A$2:$A$61,0))="","",INDEX(Experiments!$Q$2:$Q$61,MATCH($A3,Experiments!$A$2:$A$61,0))),""))</f>
        <v>0.22398299999999999</v>
      </c>
    </row>
    <row r="4" spans="1:4" ht="15" customHeight="1" x14ac:dyDescent="0.3">
      <c r="A4" s="12" t="s">
        <v>126</v>
      </c>
      <c r="B4" s="15">
        <f>IF($A4="","",IFERROR(IF(INDEX(Experiments!$U$2:$U$61,MATCH($A4,Experiments!$A$2:$A$61,0))="","",INDEX(Experiments!$U$2:$U$61,MATCH($A4,Experiments!$A$2:$A$61,0))),""))</f>
        <v>0.91292099999999998</v>
      </c>
      <c r="C4" s="15">
        <f>IF($A4="","",IFERROR(IF(INDEX(Experiments!$V$2:$V$61,MATCH($A4,Experiments!$A$2:$A$61,0))="","",INDEX(Experiments!$V$2:$V$61,MATCH($A4,Experiments!$A$2:$A$61,0))),""))</f>
        <v>0.86025300000000005</v>
      </c>
      <c r="D4" s="15">
        <f>IF($A4="","",IFERROR(IF(INDEX(Experiments!$Q$2:$Q$61,MATCH($A4,Experiments!$A$2:$A$61,0))="","",INDEX(Experiments!$Q$2:$Q$61,MATCH($A4,Experiments!$A$2:$A$61,0))),""))</f>
        <v>0.22358800000000001</v>
      </c>
    </row>
    <row r="5" spans="1:4" ht="15" customHeight="1" x14ac:dyDescent="0.3">
      <c r="A5" s="13"/>
      <c r="B5" s="15" t="str">
        <f>IF($A5="","",IFERROR(IF(INDEX(Experiments!$U$2:$U$61,MATCH($A5,Experiments!$A$2:$A$61,0))="","",INDEX(Experiments!$U$2:$U$61,MATCH($A5,Experiments!$A$2:$A$61,0))),""))</f>
        <v/>
      </c>
      <c r="C5" s="15" t="str">
        <f>IF($A5="","",IFERROR(IF(INDEX(Experiments!$V$2:$V$61,MATCH($A5,Experiments!$A$2:$A$61,0))="","",INDEX(Experiments!$V$2:$V$61,MATCH($A5,Experiments!$A$2:$A$61,0))),""))</f>
        <v/>
      </c>
      <c r="D5" s="15" t="str">
        <f>IF($A5="","",IFERROR(IF(INDEX(Experiments!$Q$2:$Q$61,MATCH($A5,Experiments!$A$2:$A$61,0))="","",INDEX(Experiments!$Q$2:$Q$61,MATCH($A5,Experiments!$A$2:$A$61,0))),""))</f>
        <v/>
      </c>
    </row>
    <row r="6" spans="1:4" ht="15" customHeight="1" x14ac:dyDescent="0.3">
      <c r="A6" s="13"/>
      <c r="B6" s="15" t="str">
        <f>IF($A6="","",IFERROR(IF(INDEX(Experiments!$U$2:$U$61,MATCH($A6,Experiments!$A$2:$A$61,0))="","",INDEX(Experiments!$U$2:$U$61,MATCH($A6,Experiments!$A$2:$A$61,0))),""))</f>
        <v/>
      </c>
      <c r="C6" s="15" t="str">
        <f>IF($A6="","",IFERROR(IF(INDEX(Experiments!$V$2:$V$61,MATCH($A6,Experiments!$A$2:$A$61,0))="","",INDEX(Experiments!$V$2:$V$61,MATCH($A6,Experiments!$A$2:$A$61,0))),""))</f>
        <v/>
      </c>
      <c r="D6" s="15" t="str">
        <f>IF($A6="","",IFERROR(IF(INDEX(Experiments!$Q$2:$Q$61,MATCH($A6,Experiments!$A$2:$A$61,0))="","",INDEX(Experiments!$Q$2:$Q$61,MATCH($A6,Experiments!$A$2:$A$61,0))),""))</f>
        <v/>
      </c>
    </row>
    <row r="8" spans="1:4" ht="15" customHeight="1" x14ac:dyDescent="0.3">
      <c r="A8" s="16" t="s">
        <v>252</v>
      </c>
      <c r="B8" s="15">
        <f>IF(COUNT(B2:B6)=0,"",AVERAGE(B2:B6))</f>
        <v>0.91024633333333327</v>
      </c>
      <c r="C8" s="15">
        <f>IF(COUNT(C2:C6)=0,"",AVERAGE(C2:C6))</f>
        <v>0.85810033333333335</v>
      </c>
      <c r="D8" s="15">
        <f>IF(COUNT(D2:D6)=0,"",AVERAGE(D2:D6))</f>
        <v>0.22675633333333334</v>
      </c>
    </row>
    <row r="9" spans="1:4" ht="15" customHeight="1" x14ac:dyDescent="0.3">
      <c r="A9" s="16" t="s">
        <v>253</v>
      </c>
      <c r="B9" s="15">
        <f>IF(COUNT(B2:B6)&lt;2,"",STDEV(B2:B6))</f>
        <v>2.964436090276436E-3</v>
      </c>
      <c r="C9" s="15">
        <f>IF(COUNT(C2:C6)&lt;2,"",STDEV(C2:C6))</f>
        <v>1.9223530719754711E-3</v>
      </c>
      <c r="D9" s="15">
        <f>IF(COUNT(D2:D6)&lt;2,"",STDEV(D2:D6))</f>
        <v>5.1494231068473359E-3</v>
      </c>
    </row>
    <row r="10" spans="1:4" ht="15" customHeight="1" x14ac:dyDescent="0.3">
      <c r="A10" s="16" t="s">
        <v>254</v>
      </c>
      <c r="B10" s="15">
        <f>IF(B9="","",2*B9)</f>
        <v>5.9288721805528721E-3</v>
      </c>
      <c r="C10" s="15">
        <f>IF(C9="","",2*C9)</f>
        <v>3.8447061439509421E-3</v>
      </c>
      <c r="D10" s="15">
        <f>IF(D9="","",2*D9)</f>
        <v>1.0298846213694672E-2</v>
      </c>
    </row>
    <row r="12" spans="1:4" ht="15" customHeight="1" x14ac:dyDescent="0.3">
      <c r="A12" s="2" t="s">
        <v>255</v>
      </c>
    </row>
    <row r="13" spans="1:4" ht="15" customHeight="1" x14ac:dyDescent="0.3">
      <c r="A13" s="2" t="s">
        <v>256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0" customWidth="1"/>
    <col min="3" max="5" width="16" customWidth="1"/>
    <col min="6" max="6" width="14" customWidth="1"/>
    <col min="7" max="7" width="16" customWidth="1"/>
    <col min="8" max="8" width="50" customWidth="1"/>
  </cols>
  <sheetData>
    <row r="1" spans="1:8" ht="31.5" customHeight="1" x14ac:dyDescent="0.3">
      <c r="A1" s="7" t="s">
        <v>21</v>
      </c>
      <c r="B1" s="7" t="s">
        <v>257</v>
      </c>
      <c r="C1" s="7" t="s">
        <v>258</v>
      </c>
      <c r="D1" s="7" t="s">
        <v>259</v>
      </c>
      <c r="E1" s="7" t="s">
        <v>260</v>
      </c>
      <c r="F1" s="7" t="s">
        <v>261</v>
      </c>
      <c r="G1" s="7" t="s">
        <v>262</v>
      </c>
      <c r="H1" s="7" t="s">
        <v>263</v>
      </c>
    </row>
    <row r="2" spans="1:8" ht="15" customHeight="1" x14ac:dyDescent="0.3">
      <c r="A2" s="11" t="s">
        <v>114</v>
      </c>
      <c r="B2" s="17">
        <f>COUNTIF(Experiments!$B$2:$B$61,A2)</f>
        <v>3</v>
      </c>
      <c r="C2" s="17">
        <f>COUNTIFS(Experiments!$B$2:$B$61,A2,Experiments!$V$2:$V$61,"&lt;&gt;")</f>
        <v>3</v>
      </c>
      <c r="D2" s="15">
        <f>IF(C2=0,"",_xlfn.MAXIFS(Experiments!$V$2:$V$61,Experiments!$B$2:$B$61,A2))</f>
        <v>0.86025300000000005</v>
      </c>
      <c r="E2" s="15">
        <f>IF(C2=0,"",_xlfn.MINIFS(Experiments!$V$2:$V$61,Experiments!$B$2:$B$61,A2))</f>
        <v>0.85655499999999996</v>
      </c>
      <c r="F2" s="15">
        <f>IF(C2=0,"",_xlfn.MAXIFS(Experiments!$U$2:$U$61,Experiments!$B$2:$B$61,A2))</f>
        <v>0.91292099999999998</v>
      </c>
      <c r="G2" s="17" t="s">
        <v>264</v>
      </c>
      <c r="H2" s="18" t="s">
        <v>265</v>
      </c>
    </row>
    <row r="3" spans="1:8" ht="15" customHeight="1" x14ac:dyDescent="0.3">
      <c r="A3" s="11" t="s">
        <v>27</v>
      </c>
      <c r="B3" s="17">
        <f>COUNTIF(Experiments!$B$2:$B$61,A3)</f>
        <v>1</v>
      </c>
      <c r="C3" s="17">
        <f>COUNTIFS(Experiments!$B$2:$B$61,A3,Experiments!$V$2:$V$61,"&lt;&gt;")</f>
        <v>1</v>
      </c>
      <c r="D3" s="15">
        <f>IF(C3=0,"",_xlfn.MAXIFS(Experiments!$V$2:$V$61,Experiments!$B$2:$B$61,A3))</f>
        <v>0.73343199999999997</v>
      </c>
      <c r="E3" s="15">
        <f>IF(C3=0,"",_xlfn.MINIFS(Experiments!$V$2:$V$61,Experiments!$B$2:$B$61,A3))</f>
        <v>0.73343199999999997</v>
      </c>
      <c r="F3" s="15">
        <f>IF(C3=0,"",_xlfn.MAXIFS(Experiments!$U$2:$U$61,Experiments!$B$2:$B$61,A3))</f>
        <v>0.86915100000000001</v>
      </c>
      <c r="G3" s="17" t="str">
        <f t="shared" ref="G3:G9" si="0">IF(C3&gt;0,"Có","Chưa")</f>
        <v>Có</v>
      </c>
      <c r="H3" s="18" t="s">
        <v>266</v>
      </c>
    </row>
    <row r="4" spans="1:8" ht="15" customHeight="1" x14ac:dyDescent="0.3">
      <c r="A4" s="11" t="s">
        <v>29</v>
      </c>
      <c r="B4" s="17">
        <f>COUNTIF(Experiments!$B$2:$B$61,A4)</f>
        <v>13</v>
      </c>
      <c r="C4" s="17">
        <f>COUNTIFS(Experiments!$B$2:$B$61,A4,Experiments!$V$2:$V$61,"&lt;&gt;")</f>
        <v>13</v>
      </c>
      <c r="D4" s="15">
        <f>IF(C4=0,"",_xlfn.MAXIFS(Experiments!$V$2:$V$61,Experiments!$B$2:$B$61,A4))</f>
        <v>0.88057200000000002</v>
      </c>
      <c r="E4" s="15">
        <f>IF(C4=0,"",_xlfn.MINIFS(Experiments!$V$2:$V$61,Experiments!$B$2:$B$61,A4))</f>
        <v>0.59376600000000002</v>
      </c>
      <c r="F4" s="15">
        <f>IF(C4=0,"",_xlfn.MAXIFS(Experiments!$U$2:$U$61,Experiments!$B$2:$B$61,A4))</f>
        <v>0.91831099999999999</v>
      </c>
      <c r="G4" s="17" t="str">
        <f t="shared" si="0"/>
        <v>Có</v>
      </c>
      <c r="H4" s="18" t="s">
        <v>267</v>
      </c>
    </row>
    <row r="5" spans="1:8" ht="15" customHeight="1" x14ac:dyDescent="0.3">
      <c r="A5" s="11" t="s">
        <v>175</v>
      </c>
      <c r="B5" s="17">
        <f>COUNTIF(Experiments!$B$2:$B$61,A5)</f>
        <v>7</v>
      </c>
      <c r="C5" s="17">
        <f>COUNTIFS(Experiments!$B$2:$B$61,A5,Experiments!$V$2:$V$61,"&lt;&gt;")</f>
        <v>7</v>
      </c>
      <c r="D5" s="15">
        <f>IF(C5=0,"",_xlfn.MAXIFS(Experiments!$V$2:$V$61,Experiments!$B$2:$B$61,A5))</f>
        <v>0.88632299999999997</v>
      </c>
      <c r="E5" s="15">
        <f>IF(C5=0,"",_xlfn.MINIFS(Experiments!$V$2:$V$61,Experiments!$B$2:$B$61,A5))</f>
        <v>0.81868799999999997</v>
      </c>
      <c r="F5" s="15">
        <f>IF(C5=0,"",_xlfn.MAXIFS(Experiments!$U$2:$U$61,Experiments!$B$2:$B$61,A5))</f>
        <v>0.93018699999999999</v>
      </c>
      <c r="G5" s="17" t="str">
        <f t="shared" si="0"/>
        <v>Có</v>
      </c>
      <c r="H5" s="18" t="s">
        <v>268</v>
      </c>
    </row>
    <row r="6" spans="1:8" ht="15" customHeight="1" x14ac:dyDescent="0.3">
      <c r="A6" s="11" t="s">
        <v>46</v>
      </c>
      <c r="B6" s="17">
        <f>COUNTIF(Experiments!$B$2:$B$61,A6)</f>
        <v>3</v>
      </c>
      <c r="C6" s="17">
        <f>COUNTIFS(Experiments!$B$2:$B$61,A6,Experiments!$V$2:$V$61,"&lt;&gt;")</f>
        <v>3</v>
      </c>
      <c r="D6" s="15">
        <f>IF(C6=0,"",_xlfn.MAXIFS(Experiments!$V$2:$V$61,Experiments!$B$2:$B$61,A6))</f>
        <v>0.84521000000000002</v>
      </c>
      <c r="E6" s="15">
        <f>IF(C6=0,"",_xlfn.MINIFS(Experiments!$V$2:$V$61,Experiments!$B$2:$B$61,A6))</f>
        <v>0.68502200000000002</v>
      </c>
      <c r="F6" s="15">
        <f>IF(C6=0,"",_xlfn.MAXIFS(Experiments!$U$2:$U$61,Experiments!$B$2:$B$61,A6))</f>
        <v>0.90123900000000001</v>
      </c>
      <c r="G6" s="17" t="str">
        <f t="shared" si="0"/>
        <v>Có</v>
      </c>
      <c r="H6" s="18" t="s">
        <v>269</v>
      </c>
    </row>
    <row r="7" spans="1:8" ht="15" customHeight="1" x14ac:dyDescent="0.3">
      <c r="A7" s="11" t="s">
        <v>208</v>
      </c>
      <c r="B7" s="17">
        <f>COUNTIF(Experiments!$B$2:$B$61,A7)</f>
        <v>3</v>
      </c>
      <c r="C7" s="17">
        <f>COUNTIFS(Experiments!$B$2:$B$61,A7,Experiments!$V$2:$V$61,"&lt;&gt;")</f>
        <v>3</v>
      </c>
      <c r="D7" s="15">
        <f>IF(C7=0,"",_xlfn.MAXIFS(Experiments!$V$2:$V$61,Experiments!$B$2:$B$61,A7))</f>
        <v>0.85296899999999998</v>
      </c>
      <c r="E7" s="15">
        <f>IF(C7=0,"",_xlfn.MINIFS(Experiments!$V$2:$V$61,Experiments!$B$2:$B$61,A7))</f>
        <v>0.62760700000000003</v>
      </c>
      <c r="F7" s="15">
        <f>IF(C7=0,"",_xlfn.MAXIFS(Experiments!$U$2:$U$61,Experiments!$B$2:$B$61,A7))</f>
        <v>0.90755399999999997</v>
      </c>
      <c r="G7" s="17" t="str">
        <f t="shared" si="0"/>
        <v>Có</v>
      </c>
      <c r="H7" s="18" t="s">
        <v>270</v>
      </c>
    </row>
    <row r="8" spans="1:8" ht="15" customHeight="1" x14ac:dyDescent="0.3">
      <c r="A8" s="11" t="s">
        <v>218</v>
      </c>
      <c r="B8" s="17">
        <f>COUNTIF(Experiments!$B$2:$B$61,A8)</f>
        <v>2</v>
      </c>
      <c r="C8" s="17">
        <f>COUNTIFS(Experiments!$B$2:$B$61,A8,Experiments!$V$2:$V$61,"&lt;&gt;")</f>
        <v>2</v>
      </c>
      <c r="D8" s="15">
        <f>IF(C8=0,"",_xlfn.MAXIFS(Experiments!$V$2:$V$61,Experiments!$B$2:$B$61,A8))</f>
        <v>0.86261699999999997</v>
      </c>
      <c r="E8" s="15">
        <f>IF(C8=0,"",_xlfn.MINIFS(Experiments!$V$2:$V$61,Experiments!$B$2:$B$61,A8))</f>
        <v>0.85685100000000003</v>
      </c>
      <c r="F8" s="15">
        <f>IF(C8=0,"",_xlfn.MAXIFS(Experiments!$U$2:$U$61,Experiments!$B$2:$B$61,A8))</f>
        <v>0.91031799999999996</v>
      </c>
      <c r="G8" s="17" t="str">
        <f t="shared" si="0"/>
        <v>Có</v>
      </c>
      <c r="H8" s="18" t="s">
        <v>271</v>
      </c>
    </row>
    <row r="9" spans="1:8" ht="15" customHeight="1" x14ac:dyDescent="0.3">
      <c r="A9" s="11" t="s">
        <v>53</v>
      </c>
      <c r="B9" s="17">
        <f>COUNTIF(Experiments!$B$2:$B$61,A9)</f>
        <v>4</v>
      </c>
      <c r="C9" s="17">
        <f>COUNTIFS(Experiments!$B$2:$B$61,A9,Experiments!$V$2:$V$61,"&lt;&gt;")</f>
        <v>4</v>
      </c>
      <c r="D9" s="15">
        <f>IF(C9=0,"",_xlfn.MAXIFS(Experiments!$V$2:$V$61,Experiments!$B$2:$B$61,A9))</f>
        <v>0.860904</v>
      </c>
      <c r="E9" s="15">
        <f>IF(C9=0,"",_xlfn.MINIFS(Experiments!$V$2:$V$61,Experiments!$B$2:$B$61,A9))</f>
        <v>9.3649999999999997E-2</v>
      </c>
      <c r="F9" s="15">
        <f>IF(C9=0,"",_xlfn.MAXIFS(Experiments!$U$2:$U$61,Experiments!$B$2:$B$61,A9))</f>
        <v>0.90866199999999997</v>
      </c>
      <c r="G9" s="17" t="str">
        <f t="shared" si="0"/>
        <v>Có</v>
      </c>
      <c r="H9" s="18" t="s">
        <v>272</v>
      </c>
    </row>
    <row r="10" spans="1:8" ht="15" customHeight="1" x14ac:dyDescent="0.3">
      <c r="A10" s="11" t="s">
        <v>243</v>
      </c>
      <c r="B10" s="17">
        <f>COUNTIF(Experiments!$B$2:$B$61,A10)</f>
        <v>3</v>
      </c>
      <c r="C10" s="17">
        <f>COUNTIFS(Experiments!$B$2:$B$61,A10,Experiments!$V$2:$V$61,"&lt;&gt;")</f>
        <v>3</v>
      </c>
      <c r="D10" s="15">
        <f>IF(C10=0,"",_xlfn.MAXIFS(Experiments!$V$2:$V$61,Experiments!$B$2:$B$61,A10))</f>
        <v>0.89649699999999999</v>
      </c>
      <c r="E10" s="15">
        <f>IF(C10=0,"",_xlfn.MINIFS(Experiments!$V$2:$V$61,Experiments!$B$2:$B$61,A10))</f>
        <v>0.89013699999999996</v>
      </c>
      <c r="F10" s="15">
        <f>IF(C10=0,"",_xlfn.MAXIFS(Experiments!$U$2:$U$61,Experiments!$B$2:$B$61,A10))</f>
        <v>0.93120800000000004</v>
      </c>
      <c r="G10" s="17" t="s">
        <v>264</v>
      </c>
      <c r="H10" s="18" t="s">
        <v>273</v>
      </c>
    </row>
    <row r="11" spans="1:8" ht="15" customHeight="1" x14ac:dyDescent="0.3">
      <c r="A11" s="11" t="s">
        <v>274</v>
      </c>
      <c r="B11" s="17">
        <f>COUNTIF(Experiments!$B$2:$B$61,A11)</f>
        <v>0</v>
      </c>
      <c r="C11" s="17">
        <f>COUNTIFS(Experiments!$B$2:$B$61,A11,Experiments!$V$2:$V$61,"&lt;&gt;")</f>
        <v>0</v>
      </c>
      <c r="D11" s="15" t="str">
        <f>IF(C11=0,"",_xlfn.MAXIFS(Experiments!$V$2:$V$61,Experiments!$B$2:$B$61,A11))</f>
        <v/>
      </c>
      <c r="E11" s="15" t="str">
        <f>IF(C11=0,"",_xlfn.MINIFS(Experiments!$V$2:$V$61,Experiments!$B$2:$B$61,A11))</f>
        <v/>
      </c>
      <c r="F11" s="15" t="str">
        <f>IF(C11=0,"",_xlfn.MAXIFS(Experiments!$U$2:$U$61,Experiments!$B$2:$B$61,A11))</f>
        <v/>
      </c>
      <c r="G11" s="17" t="s">
        <v>264</v>
      </c>
      <c r="H11" s="18"/>
    </row>
    <row r="13" spans="1:8" ht="15" customHeight="1" x14ac:dyDescent="0.3">
      <c r="A13" s="3" t="s">
        <v>275</v>
      </c>
      <c r="D13" s="3">
        <f>COUNTIF(G2:G11,"Có")</f>
        <v>7</v>
      </c>
    </row>
    <row r="14" spans="1:8" ht="15" customHeight="1" x14ac:dyDescent="0.3">
      <c r="A14" s="2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Kiên Phạm</cp:lastModifiedBy>
  <cp:revision>0</cp:revision>
  <dcterms:created xsi:type="dcterms:W3CDTF">2026-10-02T03:40:32Z</dcterms:created>
  <dcterms:modified xsi:type="dcterms:W3CDTF">2026-10-03T08:16:38Z</dcterms:modified>
  <dc:language>en-US</dc:language>
</cp:coreProperties>
</file>